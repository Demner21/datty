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Keyla Francia\Desktop\"/>
    </mc:Choice>
  </mc:AlternateContent>
  <xr:revisionPtr revIDLastSave="0" documentId="8_{EF8FB186-5CB1-4E6A-B0AE-1FDD1211BBDC}" xr6:coauthVersionLast="47" xr6:coauthVersionMax="47" xr10:uidLastSave="{00000000-0000-0000-0000-000000000000}"/>
  <bookViews>
    <workbookView xWindow="-120" yWindow="-120" windowWidth="20730" windowHeight="11160" activeTab="4" xr2:uid="{A5BFC1D2-BBC3-4361-AA0F-436E6AC23BC9}"/>
  </bookViews>
  <sheets>
    <sheet name="MODELO" sheetId="10" r:id="rId1"/>
    <sheet name="1° PERIODO" sheetId="11" r:id="rId2"/>
    <sheet name="2° PERIODO" sheetId="12" r:id="rId3"/>
    <sheet name="3° PERIODO" sheetId="13" r:id="rId4"/>
    <sheet name="4° PERIODO" sheetId="14" r:id="rId5"/>
    <sheet name="." sheetId="16" r:id="rId6"/>
  </sheets>
  <definedNames>
    <definedName name="_xlnm.Print_Area" localSheetId="5">'.'!$A$1:$CF$132</definedName>
    <definedName name="_xlnm.Print_Area" localSheetId="0">MODELO!$A$1:$CF$132</definedName>
    <definedName name="DIRECCIÓN" localSheetId="5">'.'!$CG$4</definedName>
    <definedName name="DIRECCIÓN">MODELO!$CG$4</definedName>
    <definedName name="GERENCIA">MODELO!$CG$4</definedName>
    <definedName name="JOSFDSV" localSheetId="5">'.'!$CG$4</definedName>
    <definedName name="JOSFDSV">MODELO!$CG$4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44" i="10" l="1"/>
  <c r="G115" i="10"/>
  <c r="G97" i="10"/>
  <c r="G79" i="10"/>
  <c r="G61" i="10"/>
  <c r="BU56" i="10"/>
  <c r="BR56" i="10"/>
  <c r="BO56" i="10"/>
  <c r="BL56" i="10"/>
  <c r="BU55" i="10"/>
  <c r="BR55" i="10"/>
  <c r="BO55" i="10"/>
  <c r="BL55" i="10"/>
  <c r="BU54" i="10"/>
  <c r="BR54" i="10"/>
  <c r="BO54" i="10"/>
  <c r="BL54" i="10"/>
  <c r="BU53" i="10"/>
  <c r="BR53" i="10"/>
  <c r="BO53" i="10"/>
  <c r="BL53" i="10"/>
  <c r="BU52" i="10"/>
  <c r="BR52" i="10"/>
  <c r="BO52" i="10"/>
  <c r="BL52" i="10"/>
  <c r="AG46" i="10"/>
  <c r="Y46" i="10"/>
  <c r="Q46" i="10"/>
  <c r="I46" i="10"/>
  <c r="AG45" i="10"/>
  <c r="Y45" i="10"/>
  <c r="Q45" i="10"/>
  <c r="I45" i="10"/>
  <c r="Y44" i="10"/>
  <c r="Q44" i="10"/>
  <c r="I44" i="10"/>
  <c r="AG43" i="10"/>
  <c r="Y43" i="10"/>
  <c r="Q43" i="10"/>
  <c r="I43" i="10"/>
  <c r="BP33" i="10"/>
  <c r="CN33" i="10" s="1"/>
  <c r="BC33" i="10"/>
  <c r="CM33" i="10" s="1"/>
  <c r="AP33" i="10"/>
  <c r="CL33" i="10" s="1"/>
  <c r="AC33" i="10"/>
  <c r="CK33" i="10" s="1"/>
  <c r="BS32" i="10"/>
  <c r="BP32" i="10"/>
  <c r="CN32" i="10" s="1"/>
  <c r="BF32" i="10"/>
  <c r="BC32" i="10"/>
  <c r="CM32" i="10" s="1"/>
  <c r="AS32" i="10"/>
  <c r="AP32" i="10"/>
  <c r="CL32" i="10" s="1"/>
  <c r="AF32" i="10"/>
  <c r="AC32" i="10"/>
  <c r="CK32" i="10" s="1"/>
  <c r="BS31" i="10"/>
  <c r="BP31" i="10"/>
  <c r="CN31" i="10" s="1"/>
  <c r="BF31" i="10"/>
  <c r="BC31" i="10"/>
  <c r="CM31" i="10" s="1"/>
  <c r="AS31" i="10"/>
  <c r="AP31" i="10"/>
  <c r="CL31" i="10" s="1"/>
  <c r="AF31" i="10"/>
  <c r="AC31" i="10"/>
  <c r="CK31" i="10" s="1"/>
  <c r="BP30" i="10"/>
  <c r="CN30" i="10" s="1"/>
  <c r="BC30" i="10"/>
  <c r="CM30" i="10" s="1"/>
  <c r="AP30" i="10"/>
  <c r="CL30" i="10" s="1"/>
  <c r="AC30" i="10"/>
  <c r="CK30" i="10" s="1"/>
  <c r="BS29" i="10"/>
  <c r="BP29" i="10"/>
  <c r="CN29" i="10" s="1"/>
  <c r="BF29" i="10"/>
  <c r="BC29" i="10"/>
  <c r="CM29" i="10" s="1"/>
  <c r="AS29" i="10"/>
  <c r="AP29" i="10"/>
  <c r="CL29" i="10" s="1"/>
  <c r="AF29" i="10"/>
  <c r="AC29" i="10"/>
  <c r="CK29" i="10" s="1"/>
  <c r="BP28" i="10"/>
  <c r="CN28" i="10" s="1"/>
  <c r="BC28" i="10"/>
  <c r="CM28" i="10" s="1"/>
  <c r="AP28" i="10"/>
  <c r="CL28" i="10" s="1"/>
  <c r="AC28" i="10"/>
  <c r="CK28" i="10" s="1"/>
  <c r="BS27" i="10"/>
  <c r="BP27" i="10"/>
  <c r="CN27" i="10" s="1"/>
  <c r="BF27" i="10"/>
  <c r="BC27" i="10"/>
  <c r="CM27" i="10" s="1"/>
  <c r="AS27" i="10"/>
  <c r="AP27" i="10"/>
  <c r="CL27" i="10" s="1"/>
  <c r="AF27" i="10"/>
  <c r="AC27" i="10"/>
  <c r="CK27" i="10" s="1"/>
  <c r="BS26" i="10"/>
  <c r="BP26" i="10"/>
  <c r="CN26" i="10" s="1"/>
  <c r="BF26" i="10"/>
  <c r="BC26" i="10"/>
  <c r="CM26" i="10" s="1"/>
  <c r="AS26" i="10"/>
  <c r="AP26" i="10"/>
  <c r="CL26" i="10" s="1"/>
  <c r="AF26" i="10"/>
  <c r="AC26" i="10"/>
  <c r="CK26" i="10" s="1"/>
  <c r="BP25" i="10"/>
  <c r="CN25" i="10" s="1"/>
  <c r="BC25" i="10"/>
  <c r="CM25" i="10" s="1"/>
  <c r="AP25" i="10"/>
  <c r="CL25" i="10" s="1"/>
  <c r="AC25" i="10"/>
  <c r="CK25" i="10" s="1"/>
  <c r="BS24" i="10"/>
  <c r="BP24" i="10"/>
  <c r="CN24" i="10" s="1"/>
  <c r="BF24" i="10"/>
  <c r="BC24" i="10"/>
  <c r="CM24" i="10" s="1"/>
  <c r="AS24" i="10"/>
  <c r="AP24" i="10"/>
  <c r="CL24" i="10" s="1"/>
  <c r="AF24" i="10"/>
  <c r="AC24" i="10"/>
  <c r="CK24" i="10" s="1"/>
  <c r="BS23" i="10"/>
  <c r="BP23" i="10"/>
  <c r="CN23" i="10" s="1"/>
  <c r="BF23" i="10"/>
  <c r="BC23" i="10"/>
  <c r="CM23" i="10" s="1"/>
  <c r="AS23" i="10"/>
  <c r="AP23" i="10"/>
  <c r="CL23" i="10" s="1"/>
  <c r="AF23" i="10"/>
  <c r="AC23" i="10"/>
  <c r="CK23" i="10" s="1"/>
  <c r="BS22" i="10"/>
  <c r="BP22" i="10"/>
  <c r="CN22" i="10" s="1"/>
  <c r="BF22" i="10"/>
  <c r="BC22" i="10"/>
  <c r="CM22" i="10" s="1"/>
  <c r="AS22" i="10"/>
  <c r="AP22" i="10"/>
  <c r="CL22" i="10" s="1"/>
  <c r="AF22" i="10"/>
  <c r="AC22" i="10"/>
  <c r="CK22" i="10" s="1"/>
  <c r="BS21" i="10"/>
  <c r="BP21" i="10"/>
  <c r="CN21" i="10" s="1"/>
  <c r="BF21" i="10"/>
  <c r="BC21" i="10"/>
  <c r="CM21" i="10" s="1"/>
  <c r="AS21" i="10"/>
  <c r="AP21" i="10"/>
  <c r="CL21" i="10" s="1"/>
  <c r="AF21" i="10"/>
  <c r="AC21" i="10"/>
  <c r="CK21" i="10" s="1"/>
  <c r="BP20" i="10"/>
  <c r="CN20" i="10" s="1"/>
  <c r="BC20" i="10"/>
  <c r="CM20" i="10" s="1"/>
  <c r="AP20" i="10"/>
  <c r="CL20" i="10" s="1"/>
  <c r="AC20" i="10"/>
  <c r="CK20" i="10" s="1"/>
  <c r="BS19" i="10"/>
  <c r="BP19" i="10"/>
  <c r="CN19" i="10" s="1"/>
  <c r="BF19" i="10"/>
  <c r="BC19" i="10"/>
  <c r="CM19" i="10" s="1"/>
  <c r="AS19" i="10"/>
  <c r="AP19" i="10"/>
  <c r="CL19" i="10" s="1"/>
  <c r="AF19" i="10"/>
  <c r="AC19" i="10"/>
  <c r="CK19" i="10" s="1"/>
  <c r="BP18" i="10"/>
  <c r="CN18" i="10" s="1"/>
  <c r="BC18" i="10"/>
  <c r="CM18" i="10" s="1"/>
  <c r="AP18" i="10"/>
  <c r="CL18" i="10" s="1"/>
  <c r="AC18" i="10"/>
  <c r="CK18" i="10" s="1"/>
  <c r="BS17" i="10"/>
  <c r="BP17" i="10"/>
  <c r="CN17" i="10" s="1"/>
  <c r="BF17" i="10"/>
  <c r="BC17" i="10"/>
  <c r="CM17" i="10" s="1"/>
  <c r="AS17" i="10"/>
  <c r="AP17" i="10"/>
  <c r="CL17" i="10" s="1"/>
  <c r="AF17" i="10"/>
  <c r="AC17" i="10"/>
  <c r="CK17" i="10" s="1"/>
  <c r="BS16" i="10"/>
  <c r="BP16" i="10"/>
  <c r="CN16" i="10" s="1"/>
  <c r="BF16" i="10"/>
  <c r="BC16" i="10"/>
  <c r="CM16" i="10" s="1"/>
  <c r="AS16" i="10"/>
  <c r="AP16" i="10"/>
  <c r="CL16" i="10" s="1"/>
  <c r="AF16" i="10"/>
  <c r="AC16" i="10"/>
  <c r="CK16" i="10" s="1"/>
  <c r="AA12" i="10"/>
  <c r="AA11" i="10"/>
  <c r="AA10" i="10"/>
  <c r="BG9" i="10"/>
  <c r="S3" i="10"/>
  <c r="BP33" i="16"/>
  <c r="BC33" i="16"/>
  <c r="AP33" i="16"/>
  <c r="AC33" i="16"/>
  <c r="BS32" i="16"/>
  <c r="BP32" i="16"/>
  <c r="BF32" i="16"/>
  <c r="BC32" i="16"/>
  <c r="AS32" i="16"/>
  <c r="AP32" i="16"/>
  <c r="AF32" i="16"/>
  <c r="AC32" i="16"/>
  <c r="BS31" i="16"/>
  <c r="BP31" i="16"/>
  <c r="BF31" i="16"/>
  <c r="BC31" i="16"/>
  <c r="AS31" i="16"/>
  <c r="AP31" i="16"/>
  <c r="AF31" i="16"/>
  <c r="AC31" i="16"/>
  <c r="BP30" i="16"/>
  <c r="BC30" i="16"/>
  <c r="AP30" i="16"/>
  <c r="AC30" i="16"/>
  <c r="BS29" i="16"/>
  <c r="BP29" i="16"/>
  <c r="BF29" i="16"/>
  <c r="BC29" i="16"/>
  <c r="AS29" i="16"/>
  <c r="AP29" i="16"/>
  <c r="AF29" i="16"/>
  <c r="AC29" i="16"/>
  <c r="BP28" i="16"/>
  <c r="BC28" i="16"/>
  <c r="AP28" i="16"/>
  <c r="AC28" i="16"/>
  <c r="BS27" i="16"/>
  <c r="BP27" i="16"/>
  <c r="BF27" i="16"/>
  <c r="BC27" i="16"/>
  <c r="AS27" i="16"/>
  <c r="AP27" i="16"/>
  <c r="AF27" i="16"/>
  <c r="AC27" i="16"/>
  <c r="BS26" i="16"/>
  <c r="BP26" i="16"/>
  <c r="BF26" i="16"/>
  <c r="BC26" i="16"/>
  <c r="AS26" i="16"/>
  <c r="AP26" i="16"/>
  <c r="AF26" i="16"/>
  <c r="AC26" i="16"/>
  <c r="BP25" i="16"/>
  <c r="BC25" i="16"/>
  <c r="AP25" i="16"/>
  <c r="AC25" i="16"/>
  <c r="BS24" i="16"/>
  <c r="BP24" i="16"/>
  <c r="BF24" i="16"/>
  <c r="BC24" i="16"/>
  <c r="AS24" i="16"/>
  <c r="AP24" i="16"/>
  <c r="AF24" i="16"/>
  <c r="AC24" i="16"/>
  <c r="BS23" i="16"/>
  <c r="BP23" i="16"/>
  <c r="BF23" i="16"/>
  <c r="BC23" i="16"/>
  <c r="AS23" i="16"/>
  <c r="AP23" i="16"/>
  <c r="AF23" i="16"/>
  <c r="AC23" i="16"/>
  <c r="BS22" i="16"/>
  <c r="BP22" i="16"/>
  <c r="BF22" i="16"/>
  <c r="BC22" i="16"/>
  <c r="AS22" i="16"/>
  <c r="AP22" i="16"/>
  <c r="AF22" i="16"/>
  <c r="AC22" i="16"/>
  <c r="BS21" i="16"/>
  <c r="BP21" i="16"/>
  <c r="BF21" i="16"/>
  <c r="BC21" i="16"/>
  <c r="AS21" i="16"/>
  <c r="AP21" i="16"/>
  <c r="AF21" i="16"/>
  <c r="AC21" i="16"/>
  <c r="BP20" i="16"/>
  <c r="BC20" i="16"/>
  <c r="AP20" i="16"/>
  <c r="AC20" i="16"/>
  <c r="BS19" i="16"/>
  <c r="BP19" i="16"/>
  <c r="BF19" i="16"/>
  <c r="BC19" i="16"/>
  <c r="AS19" i="16"/>
  <c r="AP19" i="16"/>
  <c r="AF19" i="16"/>
  <c r="AC19" i="16"/>
  <c r="BP18" i="16"/>
  <c r="BC18" i="16"/>
  <c r="AP18" i="16"/>
  <c r="AC18" i="16"/>
  <c r="BS17" i="16"/>
  <c r="BP17" i="16"/>
  <c r="BF17" i="16"/>
  <c r="BC17" i="16"/>
  <c r="AS17" i="16"/>
  <c r="AP17" i="16"/>
  <c r="AF17" i="16"/>
  <c r="AC17" i="16"/>
  <c r="BS16" i="16"/>
  <c r="BP16" i="16"/>
  <c r="BF16" i="16"/>
  <c r="BC16" i="16"/>
  <c r="AS16" i="16"/>
  <c r="AP16" i="16"/>
  <c r="AF16" i="16"/>
  <c r="AC16" i="16"/>
  <c r="BG9" i="16"/>
  <c r="CC31" i="10" l="1" a="1"/>
  <c r="CC31" i="10" s="1"/>
  <c r="BX52" i="10" a="1"/>
  <c r="BX52" i="10" s="1"/>
  <c r="BX54" i="10" a="1"/>
  <c r="BX54" i="10" s="1"/>
  <c r="BX56" i="10" a="1"/>
  <c r="BX56" i="10" s="1"/>
  <c r="CC26" i="10" a="1"/>
  <c r="CC26" i="10" s="1"/>
  <c r="CC18" i="10" a="1"/>
  <c r="CC18" i="10" s="1"/>
  <c r="CC33" i="10" a="1"/>
  <c r="CC33" i="10" s="1"/>
  <c r="CC21" i="10" a="1"/>
  <c r="CC21" i="10" s="1"/>
  <c r="BX53" i="10" a="1"/>
  <c r="BX53" i="10" s="1"/>
  <c r="I47" i="10"/>
  <c r="Q47" i="10"/>
  <c r="Y47" i="10"/>
  <c r="AG47" i="10"/>
  <c r="BX55" i="10" a="1"/>
  <c r="BX55" i="10" s="1"/>
  <c r="CC25" i="10" a="1"/>
  <c r="CC25" i="10" s="1"/>
  <c r="CC29" i="10" a="1"/>
  <c r="CC29" i="10" s="1"/>
  <c r="CC32" i="10" a="1"/>
  <c r="CC32" i="10" s="1"/>
  <c r="CC19" i="10" a="1"/>
  <c r="CC19" i="10" s="1"/>
  <c r="CC22" i="10" a="1"/>
  <c r="CC22" i="10" s="1"/>
  <c r="CC23" i="10" a="1"/>
  <c r="CC23" i="10" s="1"/>
  <c r="CC27" i="10" a="1"/>
  <c r="CC27" i="10" s="1"/>
  <c r="CC30" i="10" a="1"/>
  <c r="CC30" i="10" s="1"/>
  <c r="CC20" i="10" a="1"/>
  <c r="CC20" i="10" s="1"/>
  <c r="CC24" i="10" a="1"/>
  <c r="CC24" i="10" s="1"/>
  <c r="CC28" i="10" a="1"/>
  <c r="CC28" i="10" s="1"/>
  <c r="CC16" i="10" a="1"/>
  <c r="CC16" i="10" s="1"/>
  <c r="CC17" i="10" a="1"/>
  <c r="CC17" i="10" s="1"/>
  <c r="G115" i="16"/>
  <c r="G97" i="16"/>
  <c r="G79" i="16"/>
  <c r="G61" i="16"/>
  <c r="BU56" i="16"/>
  <c r="BR56" i="16"/>
  <c r="BO56" i="16"/>
  <c r="BL56" i="16"/>
  <c r="BU55" i="16"/>
  <c r="BR55" i="16"/>
  <c r="BO55" i="16"/>
  <c r="BL55" i="16"/>
  <c r="BU54" i="16"/>
  <c r="BR54" i="16"/>
  <c r="BO54" i="16"/>
  <c r="BL54" i="16"/>
  <c r="BU53" i="16"/>
  <c r="BR53" i="16"/>
  <c r="BO53" i="16"/>
  <c r="BL53" i="16"/>
  <c r="BU52" i="16"/>
  <c r="BR52" i="16"/>
  <c r="BO52" i="16"/>
  <c r="BL52" i="16"/>
  <c r="AG46" i="16"/>
  <c r="Y46" i="16"/>
  <c r="Q46" i="16"/>
  <c r="I46" i="16"/>
  <c r="AG45" i="16"/>
  <c r="Y45" i="16"/>
  <c r="Q45" i="16"/>
  <c r="I45" i="16"/>
  <c r="AG44" i="16"/>
  <c r="Y44" i="16"/>
  <c r="Q44" i="16"/>
  <c r="I44" i="16"/>
  <c r="AG43" i="16"/>
  <c r="Y43" i="16"/>
  <c r="Q43" i="16"/>
  <c r="I43" i="16"/>
  <c r="CM33" i="16"/>
  <c r="CN33" i="16"/>
  <c r="CL33" i="16"/>
  <c r="CK33" i="16"/>
  <c r="CN32" i="16"/>
  <c r="CM32" i="16"/>
  <c r="CL32" i="16"/>
  <c r="CK32" i="16"/>
  <c r="CN31" i="16"/>
  <c r="CM31" i="16"/>
  <c r="CL31" i="16"/>
  <c r="CK31" i="16"/>
  <c r="CN30" i="16"/>
  <c r="CM30" i="16"/>
  <c r="CL30" i="16"/>
  <c r="CK30" i="16"/>
  <c r="CN29" i="16"/>
  <c r="CM29" i="16"/>
  <c r="CL29" i="16"/>
  <c r="CK29" i="16"/>
  <c r="CM28" i="16"/>
  <c r="CN28" i="16"/>
  <c r="CL28" i="16"/>
  <c r="CK28" i="16"/>
  <c r="CN27" i="16"/>
  <c r="CM27" i="16"/>
  <c r="CL27" i="16"/>
  <c r="CK27" i="16"/>
  <c r="CN26" i="16"/>
  <c r="CM26" i="16"/>
  <c r="CL26" i="16"/>
  <c r="CK26" i="16"/>
  <c r="CM25" i="16"/>
  <c r="CN25" i="16"/>
  <c r="CL25" i="16"/>
  <c r="CK25" i="16"/>
  <c r="CN24" i="16"/>
  <c r="CM24" i="16"/>
  <c r="CL24" i="16"/>
  <c r="CK24" i="16"/>
  <c r="CN23" i="16"/>
  <c r="CM23" i="16"/>
  <c r="CL23" i="16"/>
  <c r="CK23" i="16"/>
  <c r="CN22" i="16"/>
  <c r="CM22" i="16"/>
  <c r="CL22" i="16"/>
  <c r="CK22" i="16"/>
  <c r="CN21" i="16"/>
  <c r="CM21" i="16"/>
  <c r="CL21" i="16"/>
  <c r="CK21" i="16"/>
  <c r="CN20" i="16"/>
  <c r="CM20" i="16"/>
  <c r="CL20" i="16"/>
  <c r="CK20" i="16"/>
  <c r="CN19" i="16"/>
  <c r="CM19" i="16"/>
  <c r="CL19" i="16"/>
  <c r="CK19" i="16"/>
  <c r="CN18" i="16"/>
  <c r="CM18" i="16"/>
  <c r="CL18" i="16"/>
  <c r="CK18" i="16"/>
  <c r="CN17" i="16"/>
  <c r="CM17" i="16"/>
  <c r="CL17" i="16"/>
  <c r="CK17" i="16"/>
  <c r="CN16" i="16"/>
  <c r="CM16" i="16"/>
  <c r="CL16" i="16"/>
  <c r="CK16" i="16"/>
  <c r="AA12" i="16"/>
  <c r="AA11" i="16"/>
  <c r="AA10" i="16"/>
  <c r="S3" i="16"/>
  <c r="CC19" i="16" l="1" a="1"/>
  <c r="CC19" i="16" s="1"/>
  <c r="CC21" i="16" a="1"/>
  <c r="CC21" i="16" s="1"/>
  <c r="CC25" i="16" a="1"/>
  <c r="CC25" i="16" s="1"/>
  <c r="CC17" i="16" a="1"/>
  <c r="CC17" i="16" s="1"/>
  <c r="CC23" i="16" a="1"/>
  <c r="CC23" i="16" s="1"/>
  <c r="CC27" i="16" a="1"/>
  <c r="CC27" i="16" s="1"/>
  <c r="CC29" i="16" a="1"/>
  <c r="CC29" i="16" s="1"/>
  <c r="CC31" i="16" a="1"/>
  <c r="CC31" i="16" s="1"/>
  <c r="CC16" i="16" a="1"/>
  <c r="CC16" i="16" s="1"/>
  <c r="CC26" i="16" a="1"/>
  <c r="CC26" i="16" s="1"/>
  <c r="CC18" i="16" a="1"/>
  <c r="CC18" i="16" s="1"/>
  <c r="CC22" i="16" a="1"/>
  <c r="CC22" i="16" s="1"/>
  <c r="CC20" i="16" a="1"/>
  <c r="CC20" i="16" s="1"/>
  <c r="CC24" i="16" a="1"/>
  <c r="CC24" i="16" s="1"/>
  <c r="CC33" i="16" a="1"/>
  <c r="CC33" i="16" s="1"/>
  <c r="CC32" i="16" a="1"/>
  <c r="CC32" i="16" s="1"/>
  <c r="CC30" i="16" a="1"/>
  <c r="CC30" i="16" s="1"/>
  <c r="CC28" i="16" a="1"/>
  <c r="CC28" i="16" s="1"/>
  <c r="Y47" i="16"/>
  <c r="BX53" i="16" a="1"/>
  <c r="BX53" i="16" s="1"/>
  <c r="BX55" i="16" a="1"/>
  <c r="BX55" i="16" s="1"/>
  <c r="AG47" i="16"/>
  <c r="BX54" i="16" a="1"/>
  <c r="BX54" i="16" s="1"/>
  <c r="BX56" i="16" a="1"/>
  <c r="BX56" i="16" s="1"/>
  <c r="I47" i="16"/>
  <c r="Q47" i="16"/>
  <c r="BX52" i="16" a="1"/>
  <c r="BX52" i="1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<sst xmlns="http://schemas.openxmlformats.org/spreadsheetml/2006/main" count="2171" uniqueCount="201">
  <si>
    <t>DRE</t>
  </si>
  <si>
    <t>CUSCO</t>
  </si>
  <si>
    <t>UGEL</t>
  </si>
  <si>
    <t>URUBAMBA</t>
  </si>
  <si>
    <t>Nivel</t>
  </si>
  <si>
    <t>Código Modular</t>
  </si>
  <si>
    <t>NIÑOS DEL ARCO IRIS</t>
  </si>
  <si>
    <t>D.N.I.</t>
  </si>
  <si>
    <t>Sección</t>
  </si>
  <si>
    <t>A</t>
  </si>
  <si>
    <t>Apellidos y nombres del estudiante</t>
  </si>
  <si>
    <t>Apellidos y nombres del docente o tutor</t>
  </si>
  <si>
    <t>IE o Programa Educativo</t>
  </si>
  <si>
    <t>COMPETENCIAS</t>
  </si>
  <si>
    <t>PERIODO</t>
  </si>
  <si>
    <t>Nivel de logro final</t>
  </si>
  <si>
    <t>1°</t>
  </si>
  <si>
    <t>2°</t>
  </si>
  <si>
    <t>3°</t>
  </si>
  <si>
    <t>Conclusión descriptiva</t>
  </si>
  <si>
    <t>4°</t>
  </si>
  <si>
    <t>PERSONAL SOCIAL</t>
  </si>
  <si>
    <t>Convive y participa democráticamente en la búsqueda del bien común</t>
  </si>
  <si>
    <t>Se desenvuelve de manera autónoma a través de su motricidad</t>
  </si>
  <si>
    <t>COMUNICACIÓN</t>
  </si>
  <si>
    <t>ÁREA CURRICULAR</t>
  </si>
  <si>
    <t>MATEMÁTICA</t>
  </si>
  <si>
    <t>Resuelve problemas de forma, movimiento y localización</t>
  </si>
  <si>
    <t>CIENCIA Y TECNOLOGÍA</t>
  </si>
  <si>
    <t>COMPETENCIAS TRANSVERSALES</t>
  </si>
  <si>
    <t>Se desenvuelve en los entornos virtuales generados por las TIC</t>
  </si>
  <si>
    <t>TALLER DE QUECHUA</t>
  </si>
  <si>
    <t>Periodo</t>
  </si>
  <si>
    <t>Inasistencias</t>
  </si>
  <si>
    <t>Tardanzas</t>
  </si>
  <si>
    <t>Justificadas</t>
  </si>
  <si>
    <t>Injustificadas</t>
  </si>
  <si>
    <t>Sit. Final</t>
  </si>
  <si>
    <t>CALIFICACIÓN FINAL</t>
  </si>
  <si>
    <t>C</t>
  </si>
  <si>
    <t>Supervisar y acompañar al estudiante para que cumpla con las tareas y actividades escolares, reforzar las normas de conducta aprendidas tanto en casa como en la Institución Educativa, y estimular la lectura diaria.</t>
  </si>
  <si>
    <t>F</t>
  </si>
  <si>
    <t>H</t>
  </si>
  <si>
    <t xml:space="preserve">Cuidar el material que el o los estudiantes reciban (libros, fotocopias, sillas, útiles de escritorio, muebles e inmuebles de la Institución Educativa). </t>
  </si>
  <si>
    <t>K</t>
  </si>
  <si>
    <t>Apoyar y cumplir con las actividades del Programa “Familia Saludable”, que incluye visitas a la casa o domicilio de los representantes para monitorear el cumplimiento del plan nutricional, higiene bucal, rincón de aseo y rincón de estudio.</t>
  </si>
  <si>
    <t>N</t>
  </si>
  <si>
    <t>Evitar los comentarios sin prueba fehaciente de determinado hecho o situación. En la Institución Educativa no se toleran los llamados “chismes”, porque todos somos parte de una misma familia, y es nuestro deber y responsabilidad buscar sumar de manera positiva a ella.</t>
  </si>
  <si>
    <t>FIRMA DEL TUTOR</t>
  </si>
  <si>
    <t>AD</t>
  </si>
  <si>
    <t>Logro destacado</t>
  </si>
  <si>
    <t>Logro esperado</t>
  </si>
  <si>
    <t>B</t>
  </si>
  <si>
    <t>En proceso</t>
  </si>
  <si>
    <t>En inicio</t>
  </si>
  <si>
    <t>RESUMEN DE ASISTENCIA DEL ESTUDIANTE</t>
  </si>
  <si>
    <t>CALIF. PROMEDIO DE ÁREA</t>
  </si>
  <si>
    <t>Construye su identidad</t>
  </si>
  <si>
    <t>Se comunica oralmente en su lengua materna</t>
  </si>
  <si>
    <t>Lee diversos tipos de textos escritos en su lengua materna</t>
  </si>
  <si>
    <t>Escribe diversos tipos de texto</t>
  </si>
  <si>
    <t>Resuelve problemas de cantidad</t>
  </si>
  <si>
    <t>Indaga mediante métodos científicos para construir sus conocimientos</t>
  </si>
  <si>
    <t>Gestiona su Aprendizaje de manera autónoma</t>
  </si>
  <si>
    <t>Firma y sello de dirección y gerencia</t>
  </si>
  <si>
    <t>N° COMPROMISO</t>
  </si>
  <si>
    <t>APRECIACIONES DEL/ DE LA TUTOR/A SOBRE EL COMPORTAMIENTO DEL /DE LA ESTUDIANTE</t>
  </si>
  <si>
    <t>Comunicarnos constantemente con el o la docente encargada del aula de estudios para conocer el progreso de el o los estudiantes, por medio de la agenda, teléfono y entrevistas en el día correspondiente, según cita programada.</t>
  </si>
  <si>
    <t>COMENTARIOS FINALES DE CADA PERIODO</t>
  </si>
  <si>
    <t>LIBRETA DE PADRES</t>
  </si>
  <si>
    <t>COMPROMISOS FIRMADOS AL MOMENTO DE LA MATRÍCULA</t>
  </si>
  <si>
    <t>COMUNICACIÓN EN LENGUA MATERNA</t>
  </si>
  <si>
    <t>QUECHUA</t>
  </si>
  <si>
    <t>C1</t>
  </si>
  <si>
    <t>C2</t>
  </si>
  <si>
    <t>C3</t>
  </si>
  <si>
    <t>C4</t>
  </si>
  <si>
    <t>PF</t>
  </si>
  <si>
    <t>CD</t>
  </si>
  <si>
    <t>Nombre</t>
  </si>
  <si>
    <t>DNI</t>
  </si>
  <si>
    <t>Asistencias (A)</t>
  </si>
  <si>
    <t>Tardanzas (T)</t>
  </si>
  <si>
    <t>Tardanzas justificads (J)</t>
  </si>
  <si>
    <t>Faltas (F)</t>
  </si>
  <si>
    <t>Faltas justificadas (U)</t>
  </si>
  <si>
    <t>Comentario final del periodo</t>
  </si>
  <si>
    <t>Estudiante</t>
  </si>
  <si>
    <t>O</t>
  </si>
  <si>
    <t>Calificación de los compromisos</t>
  </si>
  <si>
    <t>Docente</t>
  </si>
  <si>
    <t>PSICOMOTRIZ</t>
  </si>
  <si>
    <t>Crea proyectos desde sus lenguajes artísticos</t>
  </si>
  <si>
    <t>1771864-0</t>
  </si>
  <si>
    <t>INICIAL</t>
  </si>
  <si>
    <t>Edad</t>
  </si>
  <si>
    <t>Aula</t>
  </si>
  <si>
    <t>ALAGON HUAMAN, LEYDI SAYURI</t>
  </si>
  <si>
    <t>BALZA SILVA, FIORELA MIA</t>
  </si>
  <si>
    <t>CALLAÑAUPA AGUILAR, ABISAY DANNA</t>
  </si>
  <si>
    <t>CCAPATINTA HUAMAN, JABIN ALEXIA</t>
  </si>
  <si>
    <t>CONTRERAS QUISPE, ZHARICK SAMANTA</t>
  </si>
  <si>
    <t>HUAMAN KUTUCALLA, ISAÍ</t>
  </si>
  <si>
    <t>HUAMAN MENDOZA, LUZ YASMIN</t>
  </si>
  <si>
    <t>HUAÑEC UCHUPE, LUCERO VALENTINA</t>
  </si>
  <si>
    <t>HUAYCOCHEA VALENCIA, MICAELA</t>
  </si>
  <si>
    <t>JARA PEÑA, JOSEV GABRIEL</t>
  </si>
  <si>
    <t>LLASA YUPANQUI, MYA RAYZA</t>
  </si>
  <si>
    <t>MEZA YLLA, YAZUMI CAMILA</t>
  </si>
  <si>
    <t>PARIGUANA CALLAÑAUPA, IRIS YURIANA</t>
  </si>
  <si>
    <t>QUIN ROJAS, ISKARY SONQO</t>
  </si>
  <si>
    <t>QUINTANA CRUZ, DHAPNE VALENTINA</t>
  </si>
  <si>
    <t>QUISPE CHULLO, ESAÚD AMARU</t>
  </si>
  <si>
    <t>QUISPE COAQUIRA, ADARA NAIARA</t>
  </si>
  <si>
    <t>QUISPE PEREDO, YORDANI</t>
  </si>
  <si>
    <t>SURCO BANDERA, EMMA</t>
  </si>
  <si>
    <t>VICTORIO ZUÑIGA, PAVEL ALEJANDRO</t>
  </si>
  <si>
    <t>VILLANO CACERES, LUNA AURORA</t>
  </si>
  <si>
    <t>4 AÑOS</t>
  </si>
  <si>
    <t>YLLACONZA MONDRAGÓN, KEYLA</t>
  </si>
  <si>
    <t>¡Sigue así, Leydi! Durante este periodo hemos observado como comunicas tus ideas dentro y fuera del aula, también como te gusta pintar y dibujar y expresas tus ideas con soltura. 
Mamita hay que seguir reforzando en casa las rutinas de alimentación y aseo, recuerda también siempre supervisar las actividades de Leydi. ¡Juntas lo vamos a lograr!</t>
  </si>
  <si>
    <t>¡Buen trabajo Mia! Este primer periodo hemos logrado muchos avances, también hemos visto tu habilidad para integrarte al grupo de aula e incorporar las rutinas de aula. Hemos observado que disfrutas mucho de juegos tranquilos como (rompecabezas, fichas, cuentos).  Estamos muy contentas de este progreso. 
Papito y mamita hay que seguir trabajando en casa las rutinas de aseo y alimentación, también hay que escuchar la voz de Mía en casa, esto quiere decir que debemos permitirle expresar sus sentimientos e intereses con más frecuencia. Debemos darle mucha seguridad y confianza ¡Juntos lo vamos a lograr!</t>
  </si>
  <si>
    <t>¡Felicidades, Danna! Cada día nos acercamos a la meta, hemos observado como interactúas con tus amigos y la forma en la que ayudas a cada uno de ellos durante el recreo o cada momento del día, ellos se sienten muy felices de que tú los ayudes. 
Mamita, gracias por la responsabilidad en los materiales y la limpieza, aún hay que mejorar con respecto a la supervisión de las actividades y comunicación con la docente. Recuerda que tú eres la madre y es importante estar siempre al pendiente de Danna. ¡Vamos a seguir trabajando juntas por la educación y desarrollo de Danna!</t>
  </si>
  <si>
    <t>¡Vamos avanzando Jabin! Estamos muy contentas de todos los avances que has tenido, como has incorporado las rutinas del aula y como disfrutas conversar con tus amigos de temas de interés. Comunicas tus ideas con ánimo y coherencia. 
Mamita y papito, Hay seguir reforzando en casa la lectura y las rutinas de aseo y alimentación; que alegría me da ver que están comprometidos con la educación de su hija, sigamos manteniendo la comunicación y supervisión de Jabin para seguir viendo progreso. ¡Vamos a lograrlo!</t>
  </si>
  <si>
    <t>¡Sigue adelante Zharick! Durante el primer periodo hemos visto cómo te has integrado al aula, como compartes momentos de interés con tus amigos y como disfrutas cada actividad que realizas en el aula. Mamita hay que seguir trabajando en casa las rutinas de alimentación y de aseo que tenemos en el aula, también seguir brindando momentos en casa donde pueda expresar sus sentimientos y opiniones. Recuerda que para ver un desarrollo progresivo en Zharick es importante estar siempre en comunicación y supervisión de las actividades, pongamos más esfuerzo para lograrlo. ¡Sí se puede!</t>
  </si>
  <si>
    <t>¡Qué alegría ver tu progreso Isaí! Este primer periodo ha sido de adaptarnos y conocernos, Isaí ha logrado poco a poco reconocer a sus compañeros e interiorizar rutinas, también pide perdón cuando se da cuenta que hizo algo que no es amable con sus amigos. Estamos avanzando lento; pero también estamos seguras de que lograremos los objetivos trazados. 
Mamita y papito, estamos muy sorprendidas del compromiso que tienen con Isaí, nos han demostrado que realmente la educación y desarrollo de su hijo es algo importante para ustedes. Sigamos así en este nuevo periodo. ¡Juntos lo lograremos!</t>
  </si>
  <si>
    <t>¡Vamos Luz, sí podemos! Este primer periodo hemos avanzado lento, pero con mucho ánimo. Hemos visto cómo te has ido integrando al grupo de aula, también has logrado poco a poco expresar tus sentimientos y opiniones y hemos visto como ayudas a tus amigos en cada actividad del aula; creemos en todo tu potencial. 
Mamita hay que seguir reforzando en casa las rutinas de alimentación y aseo, también hay que brindarle confianza y espacios para expresar sus ideas. Recuerda que debes estar comprometida con la educación de Luz y en constante comunicación para ver un progreso continuo. ¡Juntas lo lograremos!</t>
  </si>
  <si>
    <t>¡Qué alegría tu progreso Valentina! Todo este primer periodo hemos observado que te has integrado al grupo poco a poco, también has ido interiorizando las rutinas y expresas tus emociones durante los juegos y asamblea. 
Mamita y papito, hay que seguir reforzando en casa la comunicación, practicar algunos ejercicios lenguaje para que Valentina pueda pronunciar mejor las palabras, también el agarre de la tijera y el lápiz; recuerden que el trabajo es de ustedes y nuestro, hay que seguir informándonos sobre el avance de Valentina y siempre comunicar las situaciones en casa. ¡Vamos a lograrlo!</t>
  </si>
  <si>
    <t>¡Estamos logrando avances Micaela! Estamos muy felices de ver tu progreso durante este primer periodo, has logrado interiorizar las rutinas de aula, también tienes iniciativa para proponer ideas y soluciones. 
Mamita y papito hay que seguir reforzando en casa habilidades comunicativas, para lograr una niña que toma decisiones y empoderarla. Gracias por demostrar compromiso con la educación de Micaela. ¡Vamos a ver más logros en Mica!</t>
  </si>
  <si>
    <t>¡Qué alegría verte crecer, Gabriel! Este periodo hemos visto tu avance comunicativo, tienes ideas claras y las comunicas; también tienes muchas habilidades para expresar tus ideas por medio del dibujo.
Mamita y papito, gracias por el apoyo que demuestran en la educación de Gabriel, la comunicación constante y la supervisión permitirán ver un desarrollo continuo. Hay que realizar en casa más ejercicios con la boca y lengua, para que Gabriel pueda pronunciar mejor las palabras; por último, practicar el corte con la tijera y el agarre del lápiz. ¡Vamos a lograrlo!</t>
  </si>
  <si>
    <t>¡Vamos a seguir esforzándonos, Mía! En este periodo hemos visto avances al integrarse en el aula, también disfruta jugando con sus amigos y le gusta estar activa. 
Mamita y papito hay seguir reforzando el compromiso con la educación de nuestra hija, recuerden que la comunicación entre ustedes y nosotras es de vital importancia para el desarrollo continuo de Mía, por favor hay que seguir esforzándonos. Reforzar en casa el corte con la tijera y el agarre del lápiz, también las rutinas de aula, ya que aún le cuesta seguirlas, también las rutinas de alimentación y aseo. ¡Juntos lo lograremos!</t>
  </si>
  <si>
    <t>¡Estamos muy orgullosas de ti, Yazumi! Este periodo hemos logrado observar muchos avances en tu aprendizaje y crecimiento, vemos que comunicas tus ideas de forma clara e intencionada, también expresas tus emociones con mucha firmeza. 
Mamita y papito gracias por colaborar siempre con el aprendizaje de Yazumi, por estar en constante comunicación, esto nos permite visualizar un crecimiento continuo. ¡Juntos lo lograremos!</t>
  </si>
  <si>
    <t>¡Vamos avanzando, Iris! Este periodo, hemos logrado avances significativos, eres muy expresiva para demostrar tus emociones, comunicas tus ideas con soltura y dinamismo. 
Mamita hay que estar pendientes del avance de Iris, es bien importante demostrar el compromiso por la educación y crecimiento de ella, recuerda que esto nos permite visualizar los avances y progresos. Hay que seguir trabajando en casa las rutinas de aseo y alimentación que aún le cuesta seguir. ¡Sí podemos!</t>
  </si>
  <si>
    <t>¡Qué alegría, Iskary! Durante este periodo, hemos observado como te has logrado integrar con tus compañeros, también te tomas tu tiempo para comunicar tus ideas y te gusta ayudar a tus compañeros. 
Mamita y papito gracias por el compromiso que demuestran por la educación de Iskary, es bien importante seguir en contacto para poder ver el crecimiento continuo de él. Sigamos trabajando las rutinas de aseo y alimentación, también hay que escuchar las ideas que tiene Iskary y considerarlas. ¡Juntos lo lograremos!</t>
  </si>
  <si>
    <t>¡Sigue así, Dhapne! Estamos muy contentas de todos los avances que has demostrado este periodo, hemos observado que te gusta ayudar a tus amigos, tienes ideas claras y eres firme con tus decisiones. 
Mamita, gracias por el compromiso que demuestras con educación de Dhapne, hay que seguir así para el segundo periodo, también hay que reforzar en casa el control de emociones y el manejo de la frustración, tenemos que permitirle a Dhapne equivocarse y no juzgarla por eso. ¡Juntas vamos a lograrlo!</t>
  </si>
  <si>
    <t>¡Sigue avanzando, Esaud! Durante este periodo hemos visto tus logros, observamos como disfrutas de interactuar con tus amigos, también te gusta estar en movimiento y manifiestas tus ideas con bastante vocabulario. 
Mamita y papito gracias por apoyar en la educación de Esaud, recuerden que el trabajo es mutuo, hay que seguir reforzando el corte con la tijera y del lápiz, también practicar las rutinas de aseo y alimentación. ¡Sí podemos!</t>
  </si>
  <si>
    <t>¡Vamos, Adara, tú puedes!  Durante este primer periodo hemos visto los avances que ha mostrado, eres una niña muy servicial, dispuesta a ayudar a sus amigos, también, disfrutas mucho expresando tus ideas a través del dibujo. 
Mamita, recuerda que el trabajo es de ambas, necesitamos estar al pendiente de la educación de Adara, ella es una niña con un potencial increíble, pero necesita siempre de la supervisión de mamá para ofrecer seguridad y refuerzo. Es necesario cumplir los compromisos que se han firmado al inicio de año.</t>
  </si>
  <si>
    <t>¡Tú puedes Yordani! Durante este periodo has demostrado tener habilidades para construir y dominar todo tu cuerpo, también te gusta expresar tus ideas y ser escuchado.
 Mamita y papito, es importante estar pendientes de la educación de Yordani, eso quiere decir: llamada o mensajes preguntando sobre la situación de Yordani, Hay que seguir trabajando en casa las rutinas de alimentación y aseo; por último, hacer ejercicios que le permitan controlar sus emociones sin lastimar. ¡Vamos a lograrlo!</t>
  </si>
  <si>
    <t>¡Vamos bien, Emma! Estamos muy felices por tus avances, hemos observado en este periodo como tienes preguntas y cómo disfrutas comunicar tus ideas, también te gusta ayudar a tus compañeros y organizar los espacios del aula. 
Mamita gracias por el compromiso que tienes por la educación de Emma, hay que seguir así para poder visualizar un crecimiento continuo. ¡Vamos a lograrlo!</t>
  </si>
  <si>
    <t>¡Sigue esforzándote, Pavel! Durante este periodo, hemos visto avances al interactuar con tus compañeros, regulas tu fuerza y puedes seguir acuerdos. 
Mamita hay que por favor mantener la comunicación y la supervisión para que así evidenciemos avances, recuerda que estos son compromisos que se firmaron a inicios de año. Hay que trabajar en casa el agarre de la tijera y lápiz, también practicar las rutinas de aseo y alimentación.</t>
  </si>
  <si>
    <t>¡Sigue así, Luna! Estamos muy contentas por los logros que hemos observado este periodo, comunicas tus ideas, sigues las rutinas y disfrutas ayudando a tus compañeros. 
Mamita es importante mantener la comunicación para ver avances en Luna. Ella es una niña independiente y realiza las actividades de forma autónoma, pero siempre es necesario el acompañamiento de mamá, recuerda que hay un compromiso que se firmó a inicios de año. ¡Vamos a lograrlo juntas!</t>
  </si>
  <si>
    <t xml:space="preserve">¡Buen trabajo Mía! Estamos muy orgullosas de ti porque hemos visto un progreso al dibujar, reflexionar. Eres muy creativa en el sector del hogar y te gusta mucho jugar junto a tus amigos. Mamita y papito, estamos muy contentas con el desarrollo de Mia y vemos que ustedes la apoyan mucho en casa. Igual notamos que le cuesta un poco expresarse en el grupo y se queda muy callada en ocasiones. Es muy importante motivarla a dar su opinión y escucharla en casa también. ¡Seguimos avanzando juntos! </t>
  </si>
  <si>
    <t xml:space="preserve">¡Súper buen trabajo, Danna! Estamos muy orgullosas de ti por el avance de este periodo. Tienes mucho talento en dibujar y también eres muy amable y social con tus amigos y compañeros en el grupo. Mamita y papito, estamos muy contentos con el desarrollo y el comportamiento de Danna dentro del aula. Se integra muy bien en el grupo, tiene las rutinas muy bien incorporadas y da mucha estabilidad al salón. Ella ha demostrado gran habilidad en su psicomotrizidad y habilidades como escribir, expresar, pensar, imaginar y cuidar; es importante igual trabajar la frustación frente a problemas que tiene y expresarlo así sea complejo. Hemos notado que no le gusta mucho el sector de construcción, pero trabajamos para que sea un espacio agradable para ella. </t>
  </si>
  <si>
    <t>¡Buen trabajo, Jabín! Estamos muy orgullosas de ti porque  te gusta mucho jugar con tus amigos en el sector del hogar y estas muy creativa en tus ideas de juego. Has incorporado bien las rutinas y las sigues. Mamita y papito, nos hace muy feliz ver que Jabín está progresando cada día un poco más y que mejora sus habilidades y comportamiento; sin embargo es muy importante reforzar las rutinas (ordenar después de los juegos) y el tema de alimentación. También vemos que le cuesta todavía dibujar y escribir por propia iniciativa. Es importante motivarla a desarrollar estas habilidades antes mencionadas. Vamos mejorando con mucha motivación y mucho cariño.</t>
  </si>
  <si>
    <t xml:space="preserve">¡Te felicitamos, Zharick! Estás jugando mucho más con tus amigos y participas mucho mejor. Has incorporado las rutinas de la aula y nos hace muy feliz ver como disfrutas cada dia de leer cuentos. Mamita y papito, nos hace muy feliz que poco a poco Zharick participa más en las actividades del aula. Igual es importante motivarla a jugar, dibujar y construir, en algunas oportunidades la vemos un poco callada y pasiva, por eso es muy importante darle el espacio a expresar sus sentimientos y opiniones. ¡Juntos vamos a lograrlo! </t>
  </si>
  <si>
    <t xml:space="preserve">¡Muy buen trabajo, Isaí! Estamos muy orgullosas de tu avance y trabajo en el salón. Has madurado mucho durante el semestre y vemos que te puedes concentrar mucho mejor. Participas, compartes, ordenas y estas muy amable con tus amigos. ¡Felicitaciones! Mamita y papito, realmente estamos muy felices ver que gran progreso ha hecho su hijo. Todavía tiene muchos temas en que hay que trabajar y ayudarle (cómo controlar sus emociones, concentrarse, hacer cosas que no le gustan). Sabemos que Isaí necesita un acompañamiento permanente; pero el avance que hemos visto en los meses pasados, nos llena con motivación a seguir el camino que hemos tomado juntos. Tiene talento en construir y hacer rompecabezas. Igual es importante reforzar su psicomotrizidad y el trabajo con lápiz y tijeras para seguir adelante. ¡Juntos lo vamos a lograrlo! </t>
  </si>
  <si>
    <t xml:space="preserve">¡Que alegría tu avance Luz! Estamos muy felices de tu comportamiento y desarrollo en el salón; vienes con mucha alegría y motivación. Dominas las rutinas muy bien y nos hace feliz ver como compartes con tus compañeros. Mamita, estamos muy orgullosas de su hija, muestra mucha creatividad y tiene un comportamiento muy social. Es una niña muy inteligente con muchísimo potencial. Ayuda y apoya mucho a sus amigos. También se integra mucho más que al inicio de este año; sin embargo es importante darle espacio para expresar su opinión y sentimientos porque la vemos muy callada a veces. Hay que motivarla a contar su día y hablar de sus problemas. </t>
  </si>
  <si>
    <t>¡Vamos Valentina! Vemos que te gusta mucho estar en el colegio, participas bien jugando en el sector de hogar,  tienes mucha creatividad e imaginación. Mamita y papito, vemos un gran avance en el comportamiento e integración al salón de su hija; sin embargo, es muy importante brindar mucha atención a sus acciones y seguir trabajando la autonomía en casa, es importante darle actividades o responsabilidades para que ella las realice y confíe en sí misma, tiene que mejorar poco a poco su concentración y aprender a seguir las rutinas en el aula. La vemos a veces un poco distraída y no quiere seguir las reglas y acuerdos que tenemos en el salón ¡Juntos lo vamos a lograr!</t>
  </si>
  <si>
    <t>¡Nos hace muy feliz tu progreso, Mica! Estamos muy felices ver como participas en las actividades del colegio, eres muy creativa, juegas y compartes con tus compañeros. Mamita y papito, vemos que Micaela hace las actividades con mucho cariño y dedicación. Su hija tiene mucho potencial y es una niña muy inteligente; sin embargo es importante darle el espacio para expresar sus sentimientos y opiniones. La vemos muy callada a veces y queremos que aprenda a expresarse y comunicar sus necesidades. ¡Vamos avanzando juntos!</t>
  </si>
  <si>
    <t>¡Qué alegría nos da tu crecimiento, Gabriel! En los últimos meses participaste en las actividades y vemos que te gusta dibujar, jugar, compartir y estar con tus compañeros; también eres muy amable y social con tus compañeros. ¡Buen trabajo! Mamita y papito, hemos visto un gran avance en las habilidades de su hijo y nos hace muy feliz que le apoyen mucho. Sin embargo es importante seguir reforzando sus habilidades motoras finas (como el agarre del lápiz y cortar con tijeras) y también practicar su pronunciación para que pueda expresarse de manera correcta al interactuar con sus amigos  ¡Seguimos adelante!</t>
  </si>
  <si>
    <t xml:space="preserve">¡Vamos, Mya! En los últimos meses te has integrado mucho en el aula. Juegas con tus amigos y aprendiste a compartir más con tus compañeros. Mamita y papito, es importante estar muy atento al comportamiento de su hija. Ya aprendió a pedir disculpa y vemos que sus amigos la aceptan más, pero es muy importante seguir enseñándole que no se puede usar violencia y decir lisuras. Mya tiene que tener un comportamiento más social y amable con otras personas, es fundamental estar atenta a lo que dice y que palabras usa en casa con ustedes y con sus amigos; por favor, seguimos formando una niña con valores por eso es importante desarrollar sus habilidades y estar muy atentos a sus necesidades con mucho amor y cariño. </t>
  </si>
  <si>
    <t>¡Qué alegría, Yazumi! Estamos muy orgullosas de ti y tu comportamiento en el salón; te integras muy bien en el aula, compartes con tus amigos y tienes las rutinas muy bien incorporadas, eres muy reflexiva también. Mamita y papito, estamos muy felices ver el crecimiento de su hija. Ella sabe expresar su emociones, necesidades, opiniones y participa muy bien en las actividades. Aun vemos que le cuestan usar la tijera y el lápiz así ese es un de los objetivos para alcanzar. Vemos que ustedes la apoyan mucho. ¡Seguimos así!</t>
  </si>
  <si>
    <t>¡Seguimos adelante, Iris! Estamos muy felices de ver tu alegría y energía en el salón; observamos que puedes expresar tus opiniones y sentimientos con nosotras y tus amigos. Aprendiste en los últimos meses que partes tiene tu rostro y vimos un avance en tu habilidad dibujarlas. ¡Buen trabajo, seguimos así! Mamita, es muy importante estar atenta a lo que hace, cómo habla y cómo se comporta su hija en casa. Hay que seguir las rutinas que practicamos en el colegio (higiene, ordenar, alimentación) en casa para desarrollar valores y un comportamiento social. ¡Seguimos adelante!</t>
  </si>
  <si>
    <t>¡Qué alegría tu avance, Iskary! Estas participando muy bien en las actividades del aula. Eres muy social y vemos un gran avance de habilidades motoras en los últimos meses. Te gusta construir mucho y tienes creatividad todos los días. ¡Buen trabajo! Mamita y papito, vemos que su hijo sigue muy bien las rutinas del aula. Entiende bien las preguntas y actividades; también hay un avance en el desarrollo de sus habilidades motoras finas (agarrar el lápiz, tijera); sin embargo le cuesta dar su opinión por lo que es importante darle este espacio en casa también y escuchar lo que piensa y opina. ¡Juntos lo vamos a lograr!</t>
  </si>
  <si>
    <t>¡Sigue avanzando así, Dhapne! Estamos muy felices ver como creces y tus opiniones al intervenir, te gusta mucho compartir, eres amable con tus amigas y sigues las rutinas muy bien. ¡Buen trabajo! Mamita y papito, Dhapne es una niña con mucho potencial e inteligencia. Aprende rápido y sus motricidad fina esta bien desarrollada. La vemos muy alegre y social con sus compañeros. Sin embargo, recuerden que es importante darle el espacio para expresar todas sus emociones como la tristeza, frustación sin presión y dejarla equivocarse también. Vemos que quieren mucho a su hija y que la están apoyando en su desarrollo. ¡Seguimos así!</t>
  </si>
  <si>
    <t>¡Qué buen trabajo, Esaud! Estamos muy felices de ver que te integras al salón mucho mejor, aprendiste a reconocer las partes de tu rostro, también vemos que disfrutas los tiempos en el colegio, pintando y dibujando. Te gusta mucho construir y te vemos muy creativo en tus juegos e ideas. Mamita y papito, su hijo es un niño muy inteligente y con ganas de aprender. Entiende las actividades muy rápido y sigue las rutinas muy bien. Hemos visto un gran avance en su habilidades motoras finas (tijeras, lápiz), buen trabajo! Sin embargo es muy importante reforzar su habilidad de expresión. Esaúd tiene que aprender hablar de sus necesidades, opiniones y sentimientos para integrarse más en el grupo. Es importante darle este espacio en casa también y motivarle con preguntas y paciencia; por último hemos notado que se frustra al equivocarse o cometer un error, hay que demostrarle que los errores son parte de crecer. ¡Seguimos adelante!</t>
  </si>
  <si>
    <t xml:space="preserve">¡Qué alegría tu avance, Adara! Estamos muy orgullosas de ti por lo social y amable que eres en el aula, también demuestras mucha empatía con tus compñaeros y puedes resolver tus problemas; también tienes las rutinas muy bien incorporadas, nos hace feliz verte compartir y ser amable con tus compañeros. Mamita, su hija es una niña con muchísimo potencial e inteligencia pero necesita a su mamá al costado siempre apoyando y demostrándole que puede contar con ella, por ello es importante estar juntos con ella todos los días, hacer actividades juntas en casa y darle el espacio a expresar sus sentimientos y opiniones. Seguimos adelante con mucho cariño y amor.  </t>
  </si>
  <si>
    <t>!Muy buen trabajo, Yordani! Estamos muy orgullosas de tu desarrollo y de tu avance en el salón, aprendiste a reconocer las partes de tu rostro, lograste dibujarla y diferenciarla de tus compañeros. Tienes mucha energía y motivación al hacer las actividades que hacemos. Hemos observado que eres muy amable con tus compañeros, te gusta ayudar y eres muy social. ¡Buen trabajo! Mamita y papito, su hijo es un niño con mucho potencial e inteligencia, aprende rápido, sigue las rutinas, sin embargo es un niño con mucha energía y le cuesta concentrarse a veces. También tiene que aprender no usar mucha fuerza, violencia o palabras inapropiadas. ¡Seguimos avanzando en el desarrollo del comportamiento de Yordani!</t>
  </si>
  <si>
    <t>¡Seguimos así Emma! En los últimos meses vimos un gran avance en tus habilidades sociales y emocionales. Eres muy amable con tus amigos, compartes y juegas. Tienes las rutinas muy bien incorporadas y nos enorgullece como te comportas en el salón. ¡Buen trabajo! Mamita y papito, Emma es una niña con mucho potencial e inteligencia. Sus habilidades de motricidad fina están bien desarrolladas, sin embargo es importante enseñarle que tiene que comunicar sus problemas con el compañero o compañera con el que tuvo un intercambio. Hay que motivarla en casa a hablar de sus problemas, expresar sus sentimientos y solucionarlos sola. ¡Seguimos avanzando juntos!</t>
  </si>
  <si>
    <t>¡Vamos adelante, Pavel! Hemos visto un avance en tu integración al salón. Poco a poco ya incoporas el orden en el aula y sigues las rutinas. Tienes mucha energía y vemos que te gusta jugar con tus compañeros. Mamita, Pavel es un niño con mucha energía y habilidades motoras; sin embargo; es importante seguir vigilándolo y prestar mucha atención a su comportamiento; le cuesta todavía usar las tijeras y el lápiz; aun la concentración es un debilidad en él por lo tanto es importante reforzarla en casa. Pavel es muy inteligente y tiene mucho potencial; pero necesita mucha ayuda y apoyo. A veces se frustra y expresa su frustración mediante la violencia. Es importante que aprenda a hablar para solucionar problemas ¡Seguimos adelante con mucho amor, cariño y paciencia!</t>
  </si>
  <si>
    <t>¡Qué alegría nos da tu avance Luna! En los últimos meses aprendiste a reconocer las partes de tu rostro y diferenciarla de otros. Nos emociona ver que te gusta venir, jugar, compartir y estar en el colegio. Tienes las rutinas bien incorporadas y nos alegra ver como cada dia te expresar mejor y tienes opiniones más sólidas. Estamos orgullosas de ti. Mamita, Luna es una niña inteligente y tiene muchísimo potencial; sin embargo es muy importante darle el espacio a expresar sus opiniones, sentimientos y estar juntos con ella. Luna es muy independiente; pero tiene que tener el espacio para ser niña también ¡Seguimos adelante juntos con mucho amor y cariño!</t>
  </si>
  <si>
    <t>¡Buen trabajo Leydi! Vemos que te gusta mucho venir al colegio. Usas el lápiz, las tijeras y la goma de manera correcta. Reconoces muy bien las partes del rostro y logras dibujarlo muy bien. ¡Estamos muy orgullosas de ti! 
Mamita y papito, Leydi es una niña con mucho potencial y vemos un gran avance en su comportamiento y habilidades en los últimos meses, sin embargo, hay que reforzar en casa las rutinas de alimentación y de orden; como Leydi faltó mucho este semestre, es importante cuidar su salud. Seguimos mejorando las habilidades de socilización y comunicativas el próximo semestre con mucha motivación y cariño.</t>
  </si>
  <si>
    <t xml:space="preserve">¡Buen trabajo, Mia!  Te has vuelto más segura de ti misma y te atreves a mostrarte con tus compañeros. Juegas con los demás y estás motivada para probar juegos nuevos. Has hecho un gran trabajo durante el proyecto, hay un avance en la escritura y tu atención ha incrementado.
Mamita y Papito, estamos muy orgullosas de Mia. Ha adquirido confianza en sus habilidades e incluso dirige muchos juegos con sus amigos; también incorpora las rutinas de forma excelente. A veces le resulta difícil participar en la asamblea por la mañana, así que es importante seguir apoyándola para que sea independiente, para qué exprese su opinión y para qué la escuchemos. Hay que seguir trabajando la escritura en casa, ayudarla a escribir su nombre e identificarlo. </t>
  </si>
  <si>
    <t>¡Sigue así, Jabín! Nos alegra verte participar de las actividades propuestas, ver que ya comunicas mejor tus ideas y es más fácil expresar tus sentimientos.  Durante el proyecto de este periodo hemos observado que dominas mejor la escritura y tienes mucha seguridad de lo que opinas, utilizas mejor el lenguaje verbal y no verbal. 
Mamita y papito, Jabín es una niña con mucha energía e ideas. Le gusta jugar con sus amigos y vemos progresos en su  concentración. Cada vez le gusta más escribir y dibujar, por ello es importante darle la oportunidad de hacerlo también en casa. También hay que seguir trabajando en las rutinas de almuerzo ya que tarda mucho porque se distrae, entonces sería bueno practicar esto constantemente en casa; también hay que trabajar nociones espaciales como: arriba-abajo, adelante-atrás, entonces lo podemos incluir dentro de las rutinas como el almuerzo, al ordenar el cuarto o limpiar algún espacio de casa ¡Vamos adelante!</t>
  </si>
  <si>
    <t>Isaí, ¡Estamos muy orgullosas de ti! Has hecho muchos progresos en este periodo. Juegas mucho más con tus amigos, siempre estás dispuesto a ayudar y te concentras por más tiempo. Estas participando en las actividades y nos alegra mucho de que pruebes juegos nuevos con tus compañeros. ¡Grandioso trabajo! 
Mamita y papito, seguimos viendo grandes progresos en el desarrollo de Isaí. Se está integrando mucho más y participa en casi todas las actividades con gran motivación e interés. Hay momentos donde se dispersa y le cuesta escuchar, pero siempre le pedimos que nos mire y le explicamos. Esto hay que seguirlo trabajando en casa, es importante explicarle siempre el por qué de un determinado comportamiento y ver si es o no es correcto para luego saber qué puede hacer mejor (darle una alternativa). Sigamos trabajando.</t>
  </si>
  <si>
    <t>¡Muy bien Micaela! Estamos orgullosas de ti. Eres una niña creativa, social y colaborativa. Podemos ver que disfrutas aprendiendo y jugando con tus amigos. Hemos visto que a lo largo del proyecto has mejorado en la escritura de forma libre y puedes identificar algunas letras y vocales.
Mamita y Papito. Micaela está aprendiendo con mucha diversión y motivación. Es una niña muy tranquila, pero vemos que dice lo que piensa más a menudo y está muy pendiente de sus amigos. Le gusta jugar con los demás, compartir y ayudar a sus compañeros. Es importante seguir motivándola para que resuelva sus problemas por sí misma y diga lo que piensa. A veces le resulta difícil hablar directamente con los demás sobre su opinión y es importante seguir reforzando la confianza en sí misma. Micaela tiene mucho potencial y estamos contentas de que se desarrolle tan bien.</t>
  </si>
  <si>
    <t>Vemos progresos Mya, ¡Sigue así! En este periodo has aprendido a integrarte cada vez más en el salón y tienes muchas ganas de interactuar, de ser escuchada y compartir tus ideas. Durante el proyecto también has aprendido a confiar en tus ideas y respetar las opiniones de tus compañeros. Escribes con soltura palabras y comentas sobre lo escrito.
Mamita y papito, Mya está progresando en el salón. Al principio le costó mucho integrarse, pero entiende qué tiene que ser amigable y social para que los demás quieran hacerse amigos suyos. A veces le cuesta controlarse y ser amable con los demás, pero ha comprendido que este comportamiento no es bueno. Vemos que Mya intenta controlar sus impulsos, pero esto es un proceso complejo que necesita ser trabajado en todo momento; por lo tanto se necesita trabajar en casa reforzando su autoestima, corregir de forma positiva cuando tenga alguna actitud agresiva y evitar exponerla a situaciones conflictivas. Es una niña con mucho potencial que necesita un poco de ayuda para desarrollarse bien. Estamos seguras de que podemos hacerlo juntos.</t>
  </si>
  <si>
    <t>¡Súper, Iskary! Estamos contentas de tu desarrollo. Te gusta venir a la escuela y vemos que eres muy creativo; disfrutas de tu espacio personal, pero también de tus amigos y estás muy atento a lo que sucede en el aula. Dentro del proyecto hemos observador que escribes con mayor soltura y comunicas tus ideas con mayor claridad.
Mamita y papito, Iskary está haciendo grandes progresos en su desarrollo. Es un niño que sigue en proceso de autoconocimiento y también con muchas ganas de integrarse. Juega con sus amigos y ha aprendido a compartir e interactuar con los demás. Iskary prueba todas las tareas y sus habilidades de escritura y dibujo también están mejorando. No obstante, es importante seguir reforzando en casa la democracia y limites ya que esto se evidencia en el aula; hay que respetar los acuerdos que se toman en familia y también permitir que él participe de las decisiones de familia, para que así su autoestima mejore y aprenda a respetar las opiniones de los demás y no imponerse. Estamos muy contentas de que Iskary vaya progresando.</t>
  </si>
  <si>
    <t>¡Gran trabajo Dhapne! Hemos observado como expresar con mayor soltura tus ideas y como tienen coherencia, también propones soluciones para una situación específica, también has aprendido a tolerar algunos momentos complejos dentro del aula, eres amable con tus compañeros y empática con sus sentimientos. Durante el proyecto, hemos observado tu escritura y como es que disfrutas esta actividad y reconoces ya algunas letras y vocales. Vemos que te gusta venir a la escuela y jugar con tus amigos.
Mamita y papito, Dhapne es una niña muy inteligente con un potencial increíble. Sus habilidades de escritura, dibujo, comprensión y resolución de problemas están por encima de la media y nos alegra ver su desarrollo. Sin embargo, algunas veces le cuesta probar cosas que no sabe o no quiere hacer y a menudo no las termina. Es importante motivarla para que pruebe cosas nuevas y mostrarle que a veces tiene que hacer tareas y cosas que le resultan difíciles. ¡Estamos muy orgullosas de Dhapne!</t>
  </si>
  <si>
    <t>¡Excelente Danna! Nos alegra ver tu progreso y como tus habilidades comunicativas al expresar tus opiniones y mostrar tus sentimientos han incrementado, tu empatía hacia tus amigos al reconocer sus emociones es motivador para otros. Por otro lado, tus habilidades al escribir de forma libre y según tu interés, se han demostrado al realizar nuestro proyecto de aula.
Mamita y papito, estamos muy orgullosas de Danna. Sus habilidades de escritura, lectura y comprensión son muy avanzadas y ella disfruta a aprender. Ha aprendido a compartir más con los demás, aunque todavía le resulta difícil, es importante trabajar en ello en casa respetando los acuerdos realizados y poniendo límites amorosos.</t>
  </si>
  <si>
    <t xml:space="preserve">Luz, ¡Gran trabajo! Este periodo hemos visto como has logrado comunicar mejor tus ideas, tus habilidades sociales han incrementado y lo podemos observar cuando juegas con tus amigas y cuando das una opinión, estas iniciando la escritura y vemos un avance en ello.
Mamita, estamos muy orgullosas de los progresos de Luz. Al principio le costó mucho integrarse y comunicar lo que necesita o siente, pero ahora habla más abiertamente y expresa su opinión con más frecuencia. Prueba todas las actividades y se integra mucho más en los juegos de sus amigos. ¡Genial! Luz también entiende muy bien las rutinas (lavarse las manos, cepillarse los dientes). Es una niña muy inteligente con mucho potencial y es importante reforzar aún más su confianza en sí misma para que pueda desarrollar todo su potencial. También es importante apoyar sus intereses en la escritura, dándole un modelo para que ella escriba, puede indicar con su nombre; también hay que apoyarla en el dibujo y el juego creativo tanto cómo sea posible (teniendo papel y lápiz a su alcance). </t>
  </si>
  <si>
    <t xml:space="preserve"> Valentina ¡Gran trabajo! Estás aprendiendo a seguir las rutinas cada vez más y a integrarte. Te gusta venir a la escuela y jugar con tus compañeras. Eres muy cariñosa, tienes ganas de comunicar tus ideas, y tu vocabulario está en progreso.
Mamita y Papito, estamos muy orgullosas de Valentina y vemos que está progresando al principio le costó mucho seguir las rutinas, pero cada vez se integra mejor en el salón. Es importante seguir proporcionando a Valentina límites claros para que pueda iniciar y terminar una actividad porque hemos notado que aún tiene dificultades para concentrarse en una sola actividad; por otro lado hay que seguir desarrollando en ella el gusto por la escritura y dibujo, le podemos ayudar en casa con palabras con sus respectivos dibujos y que ella los tenga al alcance para que así pueda motivarse. Hay que procurar asistir con regularidad para que el progresa pueda ser más claro.</t>
  </si>
  <si>
    <t>¡Gran trabajo Gabriel! Eres un niño muy atento, te gusta jugar con tus amigos y te gusta aprender, tienes una gran tolerancia a la frustración y un vocabulario muy amplio. Dentro del proyecto has demostrado la capacidad que tienes para comunicar tus ideas y aportar soluciones, la escritura también ha mejorado y ya puedes escribir tu nombre.
Mamita y Papito, Gabriel es un niño con un gran potencial. Es muy inteligente y aprende rápido. Intenta resolver cada nueva pregunta o tarea y es muy atento. Se ve que le dan muchas oportunidades en casa y también practican mucho con él y nos hace muy felices que tenga tan buen apoyo. También vemos los avances en su pronunciación, aunque sigue siendo muy importante que practique el habla y qué le apoyan de forma constante. ¡Grandioso trabajo!</t>
  </si>
  <si>
    <t>¡Sigue avanzando Pavel! Cada vez aprendes a seguir mejor las rutinas, también t concentración ha incrementado ligeramente, tienes muchas ganas de ser reconocido y expresar tus ideas, también disfrutas interactuando con tus amigos y tienes mucha energía para las actividades de movimiento.
Mamita y papito, Pavel es un niño muy activo y con potencial. Es muy sociable y le gusta jugar con sus amigos. Para seguir en este camino es importante que trabajemos juntos, hay que ayudar a Pavel a concentrarse en una sola actividad, por lo tanto en casa es necesario que se termine una actividad para realizar otra, hay que establecer acuerdos y respetarlos para que así entienda los límites, también hay que estar haciendo un seguimiento en casa de como va desarrollando la rutina del almuerzo ya que le cuesta mantener la postura, la maniobra de los cubiertos y la limpieza, esto hay que enseñarle y practicarlo en casa.  A veces a Pavel le cuesta probar o terminar cosas que no le gustan y esto le frustra, usualmente usa palabras como "No puedo", "Soy bebé", "Estoy Chiquito"; hay que ayudarlo siempre dando palabras que sumen a su autoestima como: "Tú puedes", "Eres valiente", "Yo confío en ti". Por último, es importante dejarle claro que tiene que comunicar su opinión en lugar de reaccionar con violencia. Vemos que está haciendo grandes progresos y por eso es importante que siga practicando con constancia. Sigue así.</t>
  </si>
  <si>
    <t>¡Estás progresando Leydi! Vemos que juegas mucho con tus amigas y amigos, participas muy motivada y cuidas a los demás. En el proyecto has aprendido para qué sirven los letreros y escribes con mucha soltura. ¡Buen trabajo!
Mamita y papito, Leydi aporta mucha motivación al salón y disfruta participando en las diferentes actividades. Sin embargo, a veces le cuesta escuchar y seguir las rutinas; también le cuesta incluirse un poco en el grupo. Hay que establecer rutinas en casa y siempre ser democráticos para poder ayudar a Leydi. Es importante seguir practicando el lavado de manos, la alimentación correcta y el cepillado de dientes todos los días para que Leydi pueda progresar más. Recuerden que es importante la asistencia, hay muchas faltas y eso no permite evidenciar el avance.</t>
  </si>
  <si>
    <t>¡Yazumi, lo estás logrando! Nos alegra ver como va progresando tu pensamiento crítico, como tomos un rol protagonista, también la forma en la que expresas tus ideas y emociones. Durante el desarrollo del proyecto hemos observado como dominas mejor la escritura libre y que tu vocabulario ha incrementado.
Mamita y papito. Yazumi tiene muchos avances, se incluye en el grupo y también lidera. Sin embargo, es importante que en casa sigamos desarrollando hábitos de orden y limpieza sobre todo a la hora del almuerzo, ya que hemos notados que le cuesta realizar esta rutina.</t>
  </si>
  <si>
    <t>Buen trabajo Iris. Eres una niña muy sociable, te gusta ayudar a los demás y compartir. Tienes iniciativa para escribir y lo has demostrado dentro del proyecto, eres muy sensible con tus compañeros y tienes un lenguaje fluido. 
Mamita y papito, podemos ver que Iris realmente disfruta de estar en el salón. Es muy social y servicial. Es importante seguir trabajando en casa sobre el controlar emociones, hemos visto en diferentes ocasiones como se enoja y tomo actitudes negativas frente a sus compañeros, esto debe ser regulado en casa a través de la comunicación y poner limites firmes con amor.</t>
  </si>
  <si>
    <t>¡Buen trabajo Adara! Nos da mucha alegría y gratitud ver como vas progresando en tus habilidades comunicativas ya que expresas tus ideas con soltura y tiene un vocabulario amplio, dominas con gran destreza la escritura y estás aprendiendo a identificar la secuencia de números, también eres muy empática y manejas las situaciones complejas con calma.
Mamita, Adara ha hecho grandes progresos y se ha vuelto mucho más confiada. Expresa su opinión más a menudo y juega abiertamente con los demás. Sus habilidades para escribir, contar y dibujar están bien desarrolladas. Sin embargo, hay que seguir dándole espacio para que pueda seguir desarrollándose como niña sin responsabilidades de adulto.</t>
  </si>
  <si>
    <t>¡Vas avanzando, Yordani Eres un niño muy activo, motivado y nos alegra que disfrutes tanto del colegio. También has demosrado ser sensible y tener palabras de elogios para tus compañeros, te emociona escribir de forma libre y comunicas lo que has escrito.
Mamita y papito, estamos muy orgullosos de los progresos de Yordani. Está aprendiendo a dibujar y a escribir cada vez con más detalle. Por tal motivo, es necesario que en casa podamos seguir incentivando a Yordani a dibujar y escribir, hay que dejarle lápiz y papel a su alcance; algunas veces a Yordani le cuesta medir su propia fuerza y tiene actitudes poco amables con sus compañeros. Sigamos trabajando para explicarle que este comportamiento es inapropiado en la escuela. Nos hemos dado cuenta de que Yordani es un niño increíblemente sociable y los sentimientos de sus amigos son muy importantes para él. Nos alegra verlo crecer.</t>
  </si>
  <si>
    <t>¡Sigue así Emma! Este periodo has demostrado más comunicación a través de gestos, palabras y acciones; también tu vocabulario ha incrementado, hemos observado que gracias al proyecto te has motivado ha realizar palabras y escribir de forma libre, reconocer algunas letras y vocales también.
Mamita y papito, Emma es una niña con mucho potencial y estamos muy orgullosas de ella. Tiene muchas habilidades para dibujar, escribir y resolver situaciones conflictivas y aportar soluciones, también es muy detallista al realizar sus trabajos y le gusta el trabajo detallado.  Sin embargo, es importante seguir enseñándole la importancia de la interacción social y de compartir con los demás. Le resulta difícil compartir el material de aula y trabajar con otros en equipo. Tanto en la escuela como en casa es importante que aprenda a socializar y que puede llegar a acuerdos con otras amigas para el uso del material, hay que ayudarle en casa a respetar límites firmes y cumplir con los acuerdos en familia.</t>
  </si>
  <si>
    <t>¡Vamos, Luna! Estamos muy orgullosas de ti. Eres una niña muy creativa, con gran capacidad de empatizar y de ser amable con los demás. Siempre estás cuidado a tus amigos y ellos se sienten felices contigo. Dominas con gran facilidad la escritura libre y comunicas lo escrito.
Mamita, Luna es una niña con un increíble potencial. Aprende muy rápido, le gusta resolver las tareas por sí misma y tiene unas habilidades de dibujo y escritura muy bien desarrolladas. Es muy importante animarla y darle la oportunidad también para que comunique sus ideas, ella necesita un espacio donde se le pueda escuchar y tener diálogos de adulto-niña, esto refuerza su autoestima ya que se siente valorada. Vemos un gran progreso al confiar en sí misma y es importante seguir trabajando con ella con mucha paciencia y amor.</t>
  </si>
  <si>
    <t>Tardanzas justificadas (J)</t>
  </si>
  <si>
    <t>¡Felicidades Dhapne! Qué orgullo ver tus avances y la actitud positiva que le pones a todo lo que realizas, hemos visto actitudes para liderar, que propones con mucho respeto las ideas y también escuchas los comentarios de otros niños y niñas.
Gracias mamita y papito por la ayuda este año, son una familia muy responsable, animosa y siempre con ganas de apoyar. 
¡Feliz navidad y próspero año nuevo!</t>
  </si>
  <si>
    <t>¡Qué gran logro Iskary! Este año has puesto mucho empeño en tus habilidades sociales, intentas comunicar tus ideas con claridad y colaboras en actividades grupales. También tratas de concentrarte por más tiempo en actividades que desarrollamos.
Gracias mamita y papito por el esfuerzo durante este año, ha sido un tiempo de muchos retos y hemos logrado cumplirlos. 
¡Feliz navidad y próspero año nuevo!</t>
  </si>
  <si>
    <t>Felicidades Iris! Estamos muy felices de ver todo el avance que has tenido este año, eres muy observadora de las emociones de tus amigos y te sensibilizas con ellos, también intentas proteger a quienes quieres; hemos observado que dominas mejor la escritura espontánea y ya reconoces algunas vocales de tu nombre ¡Bravo!
Gracias mamita y papito por la ayuda este año, recuerden que los logros de Iris, dependen mucho de la confianza que le demos. Así que hay uqe seguir trabajando en ello.
¡Feliz navidad y próspero año nuevo!</t>
  </si>
  <si>
    <t>¡Gran avance, Mía! Este año ha sido de muchos retos para ti y has demostrado que con ayuda puedes lograr solucionarlo. Estás logrando concentrarte en un actividad específica, también desarrollando autocontrol emocional frente a situaciones adversas ¡Bravo!
Mamita y papito, gracias por este año, recuerden que si nos mantenemos enfocados en la educación de Mia vamos a lograr mejores resultados, Mia necesita una rutina clara en casa y también mucho amor y disciplina, eso quiere decir tener límites claros. Si se establece un acuerdo en casa hay que seguirlo y cumplir con la palabra. Yo confío en que el próximo año veremos más logros.
¡Feliz navidad y próspero año nuevo!</t>
  </si>
  <si>
    <t>¡Lo lograste Yazumi! Durante este año, has demostrado lo lejos que puedes llegar si tienes determinación. Has integrado la noción de cantidad y también escribes algunos números, logras identificar vocales de tu nombre y escribes espontáneamente. 
Gracias mamita y papito por el esfuerzo que ponen en la educación de Yazumi, es una niña con un gran potencial que necesita ser acompañado. Juntos sí podemos.
¡Feliz navidad y próspero año nuevo!</t>
  </si>
  <si>
    <t>¡Gran trabajo, Gabriel!  Este año has mostrado todo tu potencial al comunicarte con tus compañeros, eres muy tolerante a la frustración cuando expresas tus ideas y no sabes alguna palabra, buscas otras y eso demuestra la capacidad de resiliencia que posees; también en la comprensión de cantidades y números logras expresar mejor ideas matemáticas.
Gracias mamita y papito por todo el apoyo brindado este año, ha sido un año de muchos retos y se necesita de la responsabilidad de cada familia. 
¡Feliz navidad y próspero año nuevo!</t>
  </si>
  <si>
    <t>¡Felicidades Micaela! Estoy muy orgullosa de todos los avances obtenidos este año, realmente se puede evidenciar como tienes capacidad para dar una opinión respetando los acuerdos, también puedes inferir lo que sucederá en un relato y tu escritura espontánea está siendo más constante.
Gracias mamita y papito por toda la ayuda durante este año, gracias por apoyar en la educación de Mica, hay que seguir así el próximo año.
¡Feliz navidad y próspero año nuevo!</t>
  </si>
  <si>
    <t>¡Gran avance Valentina! Este año ha sido de muchos retos para ti, hemos visto como has progresado al interactuar con tus amigos, tus ideas ya son más precisas y puedes jugar con más soltura con tus compañeros, ahora también ya puedes contar durante la asamblea a tus amigos y amigas.
Mamita y papito gracias por todo el esfuerzo este año, si bien hemos avanzado en las habilidades de Valentina, aún hay que continuar trabajando, si bien ha alcanzado el logro previsto, estos logros tienen que seguirse potenciando; eso quiere decir que en casa hay que trabajar, darle responsabilidades como ordenar su espacio, colaborar con el almuerzo o desayuno, también hay uqe buscar que se concentre en actividades y que las termine. Vamos a seguir viendo progresos si damos un acompañamiento oportuno ¡Ustedes pueden!
¡Feliz navidad y próspero año nuevo!</t>
  </si>
  <si>
    <t>¡Qué grandes avances, Luz!  Me siento muy orgullosa de todo el logro que has alcanzado, durante este año has reforzado tus habilidades comunicativas al interactuar con tus amigos, siempre los incluyes en juegos y conversaciones; en matemática también puedes resolver problemas de cantidad y agrupación.
Gracias mamita por todo el esfuerzo este año, yo sé lo difícil que ha sido y que te esfuerzas por sacar adelante a tu familia; sigan unidos como familia y manteniendo ese empeño que los caracteriza.
¡Feliz navidad y próspero año nuevo!</t>
  </si>
  <si>
    <t>¡Felicidades Isaí! Hemos terminado el año con grandes avances dentro de tu lenguaje, habilidades sociales y también matemáticas. Sigues mejor las rutinas de aula, entiendes qué actitudes son correctas y cuáles no para la convivencia, podemos mantener una conversación continua y sigues el diálogo con ideas claras. 
Felicidades mamita y papito, yo sé que el trabajo con Isaí es esforzado y por tal motivo los admiro, vamos a seguir trabajando juntas para que Isaí siga progresando, este año hemos visto muchos logros, el año que viene será mejor. Seguir trabajando en casa con rutinas.
¡Feliz navidad y próspero año nuevo!</t>
  </si>
  <si>
    <t>¡Felicidad Jabin! Durante todo este año has demostrado un progreso continuo, ahora logras unirte a los juegos grupales, expresas tus ideas con más claridad. Escribes de forma espontánea y puedes contar con mayor soltura a tus amigos y amigas. También hemos visto que eres muy buena proponiendo ideas de juego ¡Bravo!
Mamita y papito, muchas gracias por todo el trabajo durante este año, he visto la responsabilidad que tienen como familia y eso hay que seguir cultivando. 
 ¡Feliz navidad y próspero año nuevo!</t>
  </si>
  <si>
    <t>¡Qué alegría Danna! Hemos visto tu avance, cómo has logrado motivar a tus compañeros, también sabes buscar soluciones cuando hay una situación compleja. Ahora escribes de forma espontánea y con gran iniciativa. 
Gracias familia por trabajar conmigo durante este año, sigamos siempre siendo responsables y con disposición de ayudar.
¡Feliz navidad y próspero año nuevo¡</t>
  </si>
  <si>
    <t>¡Felicidades Leydi! Ya al finalizar el año has obtenido un gran progreso. Hemos visto como interactúas mejor con tus compañeros, también como expresas de forma más clara tus ideas y entiendes lo que sucede a tu alrededor. También ya cuentas a tus amigos y amigas con mayor facilidad, eso quiere decir que entiendes mejor las cantidades ¡Bravo!
Gracias mamita y papito por todo el esfuerzo este año, recuerden que hay que seguir trabajando con Leydi, ella tiene mucho interés en aprender y es importante también trabajarlo en casa, hemos visto que las últimas semanas han habido faltas recurrentes así que el proximo año hay que mejorar. En casa que siga ayudando, que tenga un horario y que tengan tiempo en familia, ya nos volvemos a ver el próximo año. 
¡Feliz navidad¡ ¡Próspero año nuevo¡</t>
  </si>
  <si>
    <t>¡Buen trabajo Mía! Qué felicidad ver todo el camino de este año, comenzamos con timidez al inicio, pero ahora logras coordinar juegos con tus compañeros, te incluyes en las actividades grupales; expresas tus ideas con mucho respeto y eres amable con los sentimientos de otros niños y niñas. Has mejorado en tu escritura espontánea y poco a poco la vas a perfeccionar. ¡Bravo!
Mamita y papito, muchas gracias por todo el trabajo realizado durante este año. Este año nos ha traído muchos retos, pero también nos ha enseñado el valor de la responsabilidad para ver mejoras. Hay que seguir dándole confianza a Mía al realizar actividades, también seguir teniendo un horario establecido en casa para estas vacaciones y sobre todo pasarla en familia, eso es lo que más valoran ellos. 
¡Feliz navidad y próspero año nuevo!</t>
  </si>
  <si>
    <t>¡Gran avance Yordani! Ya hemos terminado el año y se puede evidenciar como disfrutas de expresar tus ideas, también de liderar juegos; también hemos notado que vas mejorando en tu escritura espontánea y también tu motricidad fina.
Gracias papito y mamita por el apoyo este año, es necesario recordar que a esta edad Yordani necesita acompañamiento de un adulto referente, por otro lado hay que seguir una rutina clara en casa; esperamos seguir el próximo año con más ánimo y con responsabilidad.
¡Feliz navidad y próspero año nuevo!</t>
  </si>
  <si>
    <t>¡Gran trabajo Adara! Este año lograste demostrar tu capacidad de análisis al pensar en soluciones cotidianas, también realizas una escritura espontánea y reconoces algunos números.
Gracias mamita por el trabajo con Adara, yo sé que vivimos situaciones difíciles; pero es importante en esta edad acompañarla para que así ella se sienta valorada.
¡Feliz navidad y próspero año nuevo!</t>
  </si>
  <si>
    <t>¡Lo lograste Luna! Me enorgullece ver todos tus logros durante este año, realizas la escritura espontánea siguiendo un pensamiento lógico y crítico, también eres capaz de expresar tus sentimientos y ser empática con tus compañeros.
Gracias mamita, por todo el trabajo con Luna, yo sé que pasamos situaciones adversas en casa; pero es importante acompañar el crecimiento de Luna, ella necesita pasar tiempo contigo y también ser escuchada. El próximo año veremos más cambios y resultados si trabajamos juntas.
¡Feliz navidad y próspero año!</t>
  </si>
  <si>
    <t>¡Qué grandes avances Pavel!
Durante todo este tiempo te hemos observado y vemos que vas incorporando mejor la rutina de aula, que te tomas tu tiempo para expresar tus ideas, también que puedes contar con mayor facilidad a tus amigos en la asamblea. 
Gracias mamita por la ayuda durante todo el año, yo sé que ha sido un año distinto pero has demostrado mucha resiliencia; por otro lado es importante seguir trabajando con Pavel, si bien ha obtenido muchos avances es importante seguir trabajando en casa, por ejemplo: cumplir con acuerdos como guardar los juguetes con los que juega, tener un rol importante en casa, trabajar en su atención durante alguna actividad y trabajar más su motricidad fina. Es necesario trabajar todo esto para poder continuar el próximo año con mayores resultados.
¡Feliz navidad y próspero año nuevo!</t>
  </si>
  <si>
    <t>¡Lo lograste Emma! Ya cerrando este año, nos da gusto ver la capacidad de reflexión que posees frente a situaciones adversas, también cumples los acuerdos realizados en aula para la convivencia, vemos que dominas ya la escritura y te emociona reconocer vocales de tu nombre.
Gracias mamita y papito por todo este tiempo juntos, sé que ahora Emma toma otro rumbo y es importante seguir acompañándola y respetando sus procesos.
¡Feliz navidad y próspero año nuevo!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</si>
</sst>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8"/>
      <color theme="1"/>
      <name val="Arial Narrow"/>
      <family val="2"/>
    </font>
    <font>
      <sz val="8"/>
      <color theme="1"/>
      <name val="Arial Narrow"/>
      <family val="2"/>
    </font>
    <font>
      <sz val="9"/>
      <color theme="1"/>
      <name val="Arial Narrow"/>
      <family val="2"/>
    </font>
    <font>
      <b/>
      <sz val="9"/>
      <color theme="1"/>
      <name val="Arial Narrow"/>
      <family val="2"/>
    </font>
    <font>
      <b/>
      <sz val="11"/>
      <color theme="1"/>
      <name val="Arial Narrow"/>
      <family val="2"/>
    </font>
    <font>
      <sz val="11"/>
      <color theme="0"/>
      <name val="Calibri"/>
      <family val="2"/>
      <scheme val="minor"/>
    </font>
    <font>
      <b/>
      <sz val="9"/>
      <color theme="1"/>
      <name val="Arial"/>
      <family val="2"/>
    </font>
    <font>
      <sz val="11"/>
      <color rgb="FF000000"/>
      <name val="Arial Narrow"/>
      <family val="2"/>
    </font>
    <font>
      <b/>
      <sz val="9"/>
      <color theme="1"/>
      <name val="Arial"/>
      <family val="2"/>
    </font>
    <font>
      <b/>
      <sz val="8"/>
      <color rgb="FF000000"/>
      <name val="Arial"/>
      <family val="2"/>
    </font>
    <font>
      <sz val="8"/>
      <name val="Arial"/>
      <family val="2"/>
    </font>
    <font>
      <sz val="11"/>
      <color rgb="FF000000"/>
      <name val="Arial Narrow"/>
      <family val="2"/>
    </font>
    <font>
      <b/>
      <sz val="14"/>
      <color theme="1"/>
      <name val="Arial Narrow"/>
      <family val="2"/>
    </font>
    <font>
      <sz val="12"/>
      <color theme="1"/>
      <name val="Calibri"/>
      <family val="2"/>
      <scheme val="minor"/>
    </font>
    <font>
      <b/>
      <sz val="8"/>
      <color theme="1"/>
      <name val="Arial"/>
      <family val="2"/>
    </font>
    <font>
      <b/>
      <sz val="22"/>
      <color theme="1"/>
      <name val="Calibri"/>
      <family val="2"/>
      <scheme val="minor"/>
    </font>
    <font>
      <b/>
      <sz val="7"/>
      <color rgb="FF000000"/>
      <name val="Arial"/>
      <family val="2"/>
    </font>
    <font>
      <sz val="7"/>
      <name val="Arial"/>
      <family val="2"/>
    </font>
    <font>
      <b/>
      <sz val="20"/>
      <color theme="1"/>
      <name val="Calibri"/>
      <family val="2"/>
      <scheme val="minor"/>
    </font>
  </fonts>
  <fills count="12">
    <fill>
      <patternFill patternType="none"/>
    </fill>
    <fill>
      <patternFill patternType="gray125"/>
    </fill>
    <fill>
      <patternFill patternType="solid">
        <fgColor theme="0" tint="-0.249977111117893"/>
        <bgColor indexed="64"/>
      </patternFill>
    </fill>
    <fill>
      <patternFill patternType="solid">
        <fgColor rgb="FFFFFF00"/>
        <bgColor rgb="FFFFFF00"/>
      </patternFill>
    </fill>
    <fill>
      <patternFill patternType="solid">
        <fgColor rgb="FF00B0F0"/>
        <bgColor rgb="FF00B0F0"/>
      </patternFill>
    </fill>
    <fill>
      <patternFill patternType="solid">
        <fgColor rgb="FFE5B8B7"/>
        <bgColor rgb="FFE5B8B7"/>
      </patternFill>
    </fill>
    <fill>
      <patternFill patternType="solid">
        <fgColor rgb="FFFFE598"/>
        <bgColor rgb="FFFFE598"/>
      </patternFill>
    </fill>
    <fill>
      <patternFill patternType="solid">
        <fgColor theme="4"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4" tint="0.39997558519241921"/>
        <bgColor indexed="64"/>
      </patternFill>
    </fill>
    <fill>
      <patternFill patternType="solid">
        <fgColor theme="5" tint="0.3999755851924192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
    <xf numFmtId="0" fontId="0" fillId="0" borderId="0"/>
  </cellStyleXfs>
  <cellXfs count="126">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applyAlignment="1">
      <alignment horizontal="justify" vertical="center" wrapText="1"/>
    </xf>
    <xf numFmtId="0" fontId="0" fillId="0" borderId="1" xfId="0" applyBorder="1" applyAlignment="1">
      <alignment horizontal="justify" vertical="center"/>
    </xf>
    <xf numFmtId="0" fontId="0" fillId="0" borderId="0" xfId="0" applyAlignment="1">
      <alignment horizontal="justify" vertical="center"/>
    </xf>
    <xf numFmtId="0" fontId="0" fillId="0" borderId="1" xfId="0" applyBorder="1"/>
    <xf numFmtId="0" fontId="0" fillId="0" borderId="1" xfId="0" applyBorder="1" applyAlignment="1">
      <alignment horizontal="left" vertical="center"/>
    </xf>
    <xf numFmtId="0" fontId="7" fillId="3"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12" fillId="0" borderId="1" xfId="0" applyFont="1" applyBorder="1" applyAlignment="1">
      <alignment horizontal="left" vertical="center"/>
    </xf>
    <xf numFmtId="0" fontId="8" fillId="0" borderId="1" xfId="0" applyFont="1" applyBorder="1" applyAlignment="1">
      <alignment horizontal="center" vertical="center"/>
    </xf>
    <xf numFmtId="0" fontId="8" fillId="0" borderId="1" xfId="0" applyFont="1" applyBorder="1" applyAlignment="1">
      <alignment horizontal="left" vertical="center"/>
    </xf>
    <xf numFmtId="0" fontId="8" fillId="0" borderId="1" xfId="0" applyFont="1" applyBorder="1" applyAlignment="1">
      <alignment horizontal="center" vertical="center" wrapText="1"/>
    </xf>
    <xf numFmtId="0" fontId="8" fillId="5" borderId="1" xfId="0" applyFont="1" applyFill="1" applyBorder="1" applyAlignment="1">
      <alignment horizontal="center" vertical="center"/>
    </xf>
    <xf numFmtId="0" fontId="14" fillId="0" borderId="1" xfId="0" applyFont="1" applyBorder="1" applyAlignment="1">
      <alignment horizontal="right" wrapText="1"/>
    </xf>
    <xf numFmtId="0" fontId="6" fillId="9" borderId="0" xfId="0" applyFont="1" applyFill="1"/>
    <xf numFmtId="0" fontId="0" fillId="9" borderId="0" xfId="0" applyFill="1"/>
    <xf numFmtId="0" fontId="0" fillId="9" borderId="0" xfId="0" applyFill="1" applyAlignment="1">
      <alignment vertical="center"/>
    </xf>
    <xf numFmtId="0" fontId="4" fillId="9" borderId="0" xfId="0" applyFont="1" applyFill="1" applyAlignment="1">
      <alignment horizontal="center" vertical="center"/>
    </xf>
    <xf numFmtId="0" fontId="6" fillId="9" borderId="0" xfId="0" applyFont="1" applyFill="1" applyAlignment="1">
      <alignment horizontal="center" vertical="center"/>
    </xf>
    <xf numFmtId="0" fontId="13" fillId="9" borderId="0" xfId="0" applyFont="1" applyFill="1" applyAlignment="1">
      <alignment vertical="center" wrapText="1"/>
    </xf>
    <xf numFmtId="0" fontId="13" fillId="9" borderId="0" xfId="0" applyFont="1" applyFill="1" applyAlignment="1">
      <alignment vertical="center"/>
    </xf>
    <xf numFmtId="0" fontId="3" fillId="9" borderId="0" xfId="0" applyFont="1" applyFill="1" applyAlignment="1">
      <alignment horizontal="center" vertical="center"/>
    </xf>
    <xf numFmtId="0" fontId="0" fillId="7" borderId="1" xfId="0" applyFill="1" applyBorder="1" applyAlignment="1">
      <alignment horizontal="center" vertical="center"/>
    </xf>
    <xf numFmtId="0" fontId="6" fillId="9" borderId="0" xfId="0" applyFont="1" applyFill="1" applyAlignment="1">
      <alignment horizontal="center"/>
    </xf>
    <xf numFmtId="0" fontId="0" fillId="0" borderId="0" xfId="0" applyAlignment="1">
      <alignment vertical="center"/>
    </xf>
    <xf numFmtId="0" fontId="2" fillId="9" borderId="0" xfId="0" applyFont="1" applyFill="1" applyAlignment="1">
      <alignment horizontal="left" vertical="center" wrapText="1"/>
    </xf>
    <xf numFmtId="0" fontId="0" fillId="0" borderId="1" xfId="0" applyBorder="1" applyAlignment="1">
      <alignment horizontal="left" vertical="center" wrapText="1"/>
    </xf>
    <xf numFmtId="0" fontId="3" fillId="9" borderId="4" xfId="0" applyFont="1" applyFill="1" applyBorder="1" applyAlignment="1">
      <alignment horizontal="center" vertical="center"/>
    </xf>
    <xf numFmtId="0" fontId="3" fillId="9" borderId="12" xfId="0" applyFont="1" applyFill="1" applyBorder="1" applyAlignment="1">
      <alignment horizontal="center" vertical="center"/>
    </xf>
    <xf numFmtId="0" fontId="3" fillId="9" borderId="5" xfId="0" applyFont="1" applyFill="1" applyBorder="1" applyAlignment="1">
      <alignment horizontal="center" vertical="center"/>
    </xf>
    <xf numFmtId="0" fontId="3" fillId="9" borderId="10" xfId="0" applyFont="1" applyFill="1" applyBorder="1" applyAlignment="1">
      <alignment horizontal="center" vertical="center"/>
    </xf>
    <xf numFmtId="0" fontId="3" fillId="9" borderId="0" xfId="0" applyFont="1" applyFill="1" applyAlignment="1">
      <alignment horizontal="center" vertical="center"/>
    </xf>
    <xf numFmtId="0" fontId="3" fillId="9" borderId="11" xfId="0" applyFont="1" applyFill="1" applyBorder="1" applyAlignment="1">
      <alignment horizontal="center" vertical="center"/>
    </xf>
    <xf numFmtId="0" fontId="3" fillId="9" borderId="6" xfId="0" applyFont="1" applyFill="1" applyBorder="1" applyAlignment="1">
      <alignment horizontal="center" vertical="center"/>
    </xf>
    <xf numFmtId="0" fontId="3" fillId="9" borderId="9" xfId="0" applyFont="1" applyFill="1" applyBorder="1" applyAlignment="1">
      <alignment horizontal="center" vertical="center"/>
    </xf>
    <xf numFmtId="0" fontId="3" fillId="9" borderId="7" xfId="0" applyFont="1" applyFill="1" applyBorder="1" applyAlignment="1">
      <alignment horizontal="center" vertical="center"/>
    </xf>
    <xf numFmtId="0" fontId="4" fillId="9" borderId="1" xfId="0" applyFont="1" applyFill="1" applyBorder="1" applyAlignment="1">
      <alignment horizontal="center" vertical="center"/>
    </xf>
    <xf numFmtId="0" fontId="4" fillId="2" borderId="1" xfId="0" applyFont="1" applyFill="1" applyBorder="1" applyAlignment="1">
      <alignment horizontal="center" vertical="center" wrapText="1"/>
    </xf>
    <xf numFmtId="0" fontId="3" fillId="9" borderId="1" xfId="0" applyFont="1" applyFill="1" applyBorder="1" applyAlignment="1">
      <alignment horizontal="center" vertical="center"/>
    </xf>
    <xf numFmtId="0" fontId="4" fillId="2" borderId="1" xfId="0" applyFont="1" applyFill="1" applyBorder="1" applyAlignment="1">
      <alignment horizontal="center" vertical="center"/>
    </xf>
    <xf numFmtId="0" fontId="1" fillId="2" borderId="1"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0" xfId="0" applyFont="1" applyFill="1" applyAlignment="1">
      <alignment horizontal="center" vertical="center"/>
    </xf>
    <xf numFmtId="0" fontId="4" fillId="2" borderId="11"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7" xfId="0" applyFont="1" applyFill="1" applyBorder="1" applyAlignment="1">
      <alignment horizontal="center" vertical="center"/>
    </xf>
    <xf numFmtId="0" fontId="3" fillId="9" borderId="4" xfId="0" applyFont="1" applyFill="1" applyBorder="1" applyAlignment="1">
      <alignment horizontal="justify" vertical="center" wrapText="1"/>
    </xf>
    <xf numFmtId="0" fontId="3" fillId="9" borderId="12" xfId="0" applyFont="1" applyFill="1" applyBorder="1" applyAlignment="1">
      <alignment horizontal="justify" vertical="center" wrapText="1"/>
    </xf>
    <xf numFmtId="0" fontId="3" fillId="9" borderId="5" xfId="0" applyFont="1" applyFill="1" applyBorder="1" applyAlignment="1">
      <alignment horizontal="justify" vertical="center" wrapText="1"/>
    </xf>
    <xf numFmtId="0" fontId="3" fillId="9" borderId="10" xfId="0" applyFont="1" applyFill="1" applyBorder="1" applyAlignment="1">
      <alignment horizontal="justify" vertical="center" wrapText="1"/>
    </xf>
    <xf numFmtId="0" fontId="3" fillId="9" borderId="0" xfId="0" applyFont="1" applyFill="1" applyAlignment="1">
      <alignment horizontal="justify" vertical="center" wrapText="1"/>
    </xf>
    <xf numFmtId="0" fontId="3" fillId="9" borderId="11" xfId="0" applyFont="1" applyFill="1" applyBorder="1" applyAlignment="1">
      <alignment horizontal="justify" vertical="center" wrapText="1"/>
    </xf>
    <xf numFmtId="0" fontId="3" fillId="9" borderId="6" xfId="0" applyFont="1" applyFill="1" applyBorder="1" applyAlignment="1">
      <alignment horizontal="justify" vertical="center" wrapText="1"/>
    </xf>
    <xf numFmtId="0" fontId="3" fillId="9" borderId="9" xfId="0" applyFont="1" applyFill="1" applyBorder="1" applyAlignment="1">
      <alignment horizontal="justify" vertical="center" wrapText="1"/>
    </xf>
    <xf numFmtId="0" fontId="3" fillId="9" borderId="7" xfId="0" applyFont="1" applyFill="1" applyBorder="1" applyAlignment="1">
      <alignment horizontal="justify" vertical="center" wrapText="1"/>
    </xf>
    <xf numFmtId="0" fontId="19" fillId="10" borderId="4" xfId="0" applyFont="1" applyFill="1" applyBorder="1" applyAlignment="1">
      <alignment horizontal="center" vertical="center" wrapText="1"/>
    </xf>
    <xf numFmtId="0" fontId="19" fillId="10" borderId="5" xfId="0" applyFont="1" applyFill="1" applyBorder="1" applyAlignment="1">
      <alignment horizontal="center" vertical="center" wrapText="1"/>
    </xf>
    <xf numFmtId="0" fontId="19" fillId="10" borderId="6" xfId="0" applyFont="1" applyFill="1" applyBorder="1" applyAlignment="1">
      <alignment horizontal="center" vertical="center" wrapText="1"/>
    </xf>
    <xf numFmtId="0" fontId="19" fillId="10" borderId="7" xfId="0" applyFont="1" applyFill="1" applyBorder="1" applyAlignment="1">
      <alignment horizontal="center" vertical="center" wrapText="1"/>
    </xf>
    <xf numFmtId="0" fontId="16" fillId="10" borderId="13" xfId="0" applyFont="1" applyFill="1" applyBorder="1" applyAlignment="1">
      <alignment horizontal="center" vertical="center"/>
    </xf>
    <xf numFmtId="0" fontId="16" fillId="10" borderId="14" xfId="0" applyFont="1" applyFill="1" applyBorder="1" applyAlignment="1">
      <alignment horizontal="center" vertical="center"/>
    </xf>
    <xf numFmtId="0" fontId="16" fillId="10" borderId="4" xfId="0" applyFont="1" applyFill="1" applyBorder="1" applyAlignment="1">
      <alignment horizontal="center" vertical="center"/>
    </xf>
    <xf numFmtId="0" fontId="16" fillId="10" borderId="5" xfId="0" applyFont="1" applyFill="1" applyBorder="1" applyAlignment="1">
      <alignment horizontal="center" vertical="center"/>
    </xf>
    <xf numFmtId="0" fontId="16" fillId="10" borderId="6" xfId="0" applyFont="1" applyFill="1" applyBorder="1" applyAlignment="1">
      <alignment horizontal="center" vertical="center"/>
    </xf>
    <xf numFmtId="0" fontId="16" fillId="10" borderId="7" xfId="0" applyFont="1" applyFill="1" applyBorder="1" applyAlignment="1">
      <alignment horizontal="center" vertical="center"/>
    </xf>
    <xf numFmtId="0" fontId="5" fillId="9" borderId="0" xfId="0" applyFont="1" applyFill="1" applyAlignment="1">
      <alignment horizontal="center" vertical="center"/>
    </xf>
    <xf numFmtId="0" fontId="3" fillId="9" borderId="2" xfId="0" applyFont="1" applyFill="1" applyBorder="1" applyAlignment="1">
      <alignment horizontal="center" vertical="center"/>
    </xf>
    <xf numFmtId="0" fontId="3" fillId="9" borderId="8" xfId="0" applyFont="1" applyFill="1" applyBorder="1" applyAlignment="1">
      <alignment horizontal="center" vertical="center"/>
    </xf>
    <xf numFmtId="0" fontId="3" fillId="9" borderId="3" xfId="0" applyFont="1" applyFill="1" applyBorder="1" applyAlignment="1">
      <alignment horizontal="center" vertical="center"/>
    </xf>
    <xf numFmtId="0" fontId="3" fillId="2" borderId="1" xfId="0" applyFont="1" applyFill="1" applyBorder="1" applyAlignment="1">
      <alignment horizontal="center" vertical="center"/>
    </xf>
    <xf numFmtId="0" fontId="2" fillId="9" borderId="1" xfId="0" applyFont="1" applyFill="1" applyBorder="1" applyAlignment="1">
      <alignment horizontal="left" vertical="center" wrapText="1"/>
    </xf>
    <xf numFmtId="0" fontId="1" fillId="2" borderId="1" xfId="0" applyFont="1" applyFill="1" applyBorder="1" applyAlignment="1">
      <alignment horizontal="center" vertical="center"/>
    </xf>
    <xf numFmtId="0" fontId="3" fillId="2" borderId="4"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1" fillId="9" borderId="2" xfId="0" applyFont="1" applyFill="1" applyBorder="1" applyAlignment="1">
      <alignment horizontal="left" vertical="center" wrapText="1"/>
    </xf>
    <xf numFmtId="0" fontId="1" fillId="9" borderId="8" xfId="0" applyFont="1" applyFill="1" applyBorder="1" applyAlignment="1">
      <alignment horizontal="left" vertical="center" wrapText="1"/>
    </xf>
    <xf numFmtId="0" fontId="1" fillId="9" borderId="3" xfId="0" applyFont="1" applyFill="1" applyBorder="1" applyAlignment="1">
      <alignment horizontal="left" vertical="center" wrapText="1"/>
    </xf>
    <xf numFmtId="0" fontId="2" fillId="9" borderId="2" xfId="0" applyFont="1" applyFill="1" applyBorder="1" applyAlignment="1">
      <alignment horizontal="left" vertical="center" wrapText="1"/>
    </xf>
    <xf numFmtId="0" fontId="2" fillId="9" borderId="8" xfId="0" applyFont="1" applyFill="1" applyBorder="1" applyAlignment="1">
      <alignment horizontal="left" vertical="center" wrapText="1"/>
    </xf>
    <xf numFmtId="0" fontId="2" fillId="9" borderId="3" xfId="0" applyFont="1" applyFill="1" applyBorder="1" applyAlignment="1">
      <alignment horizontal="left" vertical="center" wrapText="1"/>
    </xf>
    <xf numFmtId="0" fontId="3" fillId="2" borderId="10" xfId="0" applyFont="1" applyFill="1" applyBorder="1" applyAlignment="1">
      <alignment horizontal="center" vertical="center" wrapText="1"/>
    </xf>
    <xf numFmtId="0" fontId="3" fillId="2" borderId="0" xfId="0" applyFont="1" applyFill="1" applyAlignment="1">
      <alignment horizontal="center" vertical="center" wrapText="1"/>
    </xf>
    <xf numFmtId="0" fontId="3" fillId="2" borderId="11" xfId="0" applyFont="1" applyFill="1" applyBorder="1" applyAlignment="1">
      <alignment horizontal="center" vertical="center" wrapText="1"/>
    </xf>
    <xf numFmtId="0" fontId="4" fillId="2" borderId="1" xfId="0" applyFont="1" applyFill="1" applyBorder="1" applyAlignment="1">
      <alignment horizontal="left" vertical="center" wrapText="1"/>
    </xf>
    <xf numFmtId="0" fontId="13" fillId="9" borderId="0" xfId="0" applyFont="1" applyFill="1" applyAlignment="1">
      <alignment horizontal="center" vertical="center" wrapText="1"/>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15" fillId="8" borderId="13"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7" fillId="6" borderId="2" xfId="0" applyFont="1" applyFill="1" applyBorder="1" applyAlignment="1">
      <alignment horizontal="center" vertical="center" wrapText="1"/>
    </xf>
    <xf numFmtId="0" fontId="17" fillId="6" borderId="8" xfId="0" applyFont="1" applyFill="1" applyBorder="1" applyAlignment="1">
      <alignment horizontal="center" vertical="center" wrapText="1"/>
    </xf>
    <xf numFmtId="0" fontId="17" fillId="6" borderId="3" xfId="0" applyFont="1" applyFill="1" applyBorder="1" applyAlignment="1">
      <alignment horizontal="center" vertical="center" wrapText="1"/>
    </xf>
    <xf numFmtId="0" fontId="10" fillId="6" borderId="2" xfId="0" applyFont="1" applyFill="1" applyBorder="1" applyAlignment="1">
      <alignment horizontal="center" vertical="center" wrapText="1"/>
    </xf>
    <xf numFmtId="0" fontId="10" fillId="6" borderId="8"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8" xfId="0" applyFill="1" applyBorder="1" applyAlignment="1">
      <alignment horizontal="left" vertical="center"/>
    </xf>
    <xf numFmtId="0" fontId="0" fillId="7" borderId="2" xfId="0" applyFill="1" applyBorder="1" applyAlignment="1">
      <alignment horizontal="center" vertical="center"/>
    </xf>
    <xf numFmtId="0" fontId="0" fillId="7" borderId="8" xfId="0" applyFill="1" applyBorder="1" applyAlignment="1">
      <alignment horizontal="center" vertical="center"/>
    </xf>
    <xf numFmtId="0" fontId="0" fillId="7" borderId="3" xfId="0" applyFill="1" applyBorder="1" applyAlignment="1">
      <alignment horizontal="center" vertical="center"/>
    </xf>
    <xf numFmtId="0" fontId="0" fillId="7" borderId="13" xfId="0" applyFill="1" applyBorder="1" applyAlignment="1">
      <alignment horizontal="center" vertical="center" wrapText="1"/>
    </xf>
    <xf numFmtId="0" fontId="0" fillId="7" borderId="14" xfId="0" applyFill="1" applyBorder="1" applyAlignment="1">
      <alignment horizontal="center" vertical="center" wrapText="1"/>
    </xf>
    <xf numFmtId="0" fontId="10" fillId="6" borderId="1" xfId="0" applyFont="1" applyFill="1" applyBorder="1" applyAlignment="1">
      <alignment horizontal="center" vertical="center" wrapText="1"/>
    </xf>
    <xf numFmtId="0" fontId="11" fillId="0" borderId="1" xfId="0" applyFont="1" applyBorder="1"/>
    <xf numFmtId="0" fontId="17" fillId="6" borderId="1" xfId="0" applyFont="1" applyFill="1" applyBorder="1" applyAlignment="1">
      <alignment horizontal="center" vertical="center" wrapText="1"/>
    </xf>
    <xf numFmtId="0" fontId="18" fillId="0" borderId="1" xfId="0" applyFont="1" applyBorder="1"/>
    <xf numFmtId="0" fontId="0" fillId="7" borderId="1" xfId="0" applyFill="1" applyBorder="1" applyAlignment="1">
      <alignment horizontal="center" vertical="center"/>
    </xf>
    <xf numFmtId="0" fontId="0" fillId="7" borderId="1" xfId="0" applyFill="1" applyBorder="1" applyAlignment="1">
      <alignment horizontal="center" vertical="center" wrapText="1"/>
    </xf>
    <xf numFmtId="0" fontId="15" fillId="8" borderId="1" xfId="0" applyFont="1" applyFill="1" applyBorder="1" applyAlignment="1">
      <alignment horizontal="center" vertical="center" wrapText="1"/>
    </xf>
    <xf numFmtId="0" fontId="14" fillId="0" borderId="1" xfId="0" applyFont="1" applyBorder="1" applyAlignment="1">
      <alignment horizontal="center" vertical="center" wrapText="1"/>
    </xf>
  </cellXfs>
  <cellStyles count="1">
    <cellStyle name="Normal" xfId="0" builtinId="0"/>
  </cellStyles>
  <dxfs count="96">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font>
    </dxf>
    <dxf>
      <font>
        <color theme="0"/>
      </font>
    </dxf>
    <dxf>
      <font>
        <color theme="0"/>
      </font>
    </dxf>
    <dxf>
      <font>
        <color theme="0"/>
      </font>
    </dxf>
    <dxf>
      <font>
        <color theme="0"/>
      </font>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rgb="FF632423"/>
      </font>
      <fill>
        <patternFill patternType="solid">
          <fgColor rgb="FFD99594"/>
          <bgColor rgb="FFD99594"/>
        </patternFill>
      </fill>
    </dxf>
    <dxf>
      <font>
        <color rgb="FF974806"/>
      </font>
      <fill>
        <patternFill patternType="solid">
          <fgColor rgb="FFFABF8F"/>
          <bgColor rgb="FFFABF8F"/>
        </patternFill>
      </fill>
    </dxf>
    <dxf>
      <font>
        <color rgb="FF244061"/>
      </font>
      <fill>
        <patternFill patternType="solid">
          <fgColor rgb="FF95B3D7"/>
          <bgColor rgb="FF95B3D7"/>
        </patternFill>
      </fill>
    </dxf>
    <dxf>
      <font>
        <color rgb="FF4F6128"/>
      </font>
      <fill>
        <patternFill patternType="solid">
          <fgColor rgb="FFC2D69B"/>
          <bgColor rgb="FFC2D69B"/>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85</xdr:col>
      <xdr:colOff>133350</xdr:colOff>
      <xdr:row>9</xdr:row>
      <xdr:rowOff>53340</xdr:rowOff>
    </xdr:from>
    <xdr:to>
      <xdr:col>87</xdr:col>
      <xdr:colOff>666750</xdr:colOff>
      <xdr:row>11</xdr:row>
      <xdr:rowOff>152400</xdr:rowOff>
    </xdr:to>
    <xdr:sp macro="[0]!PDFm" textlink="">
      <xdr:nvSpPr>
        <xdr:cNvPr id="2" name="Rectángulo: biselado 1">
          <a:extLst>
            <a:ext uri="{FF2B5EF4-FFF2-40B4-BE49-F238E27FC236}">
              <a16:creationId xmlns:a16="http://schemas.microsoft.com/office/drawing/2014/main" id="{8BF1EBE4-0F01-4E88-BDEE-153D59744E9D}"/>
            </a:ext>
          </a:extLst>
        </xdr:cNvPr>
        <xdr:cNvSpPr/>
      </xdr:nvSpPr>
      <xdr:spPr>
        <a:xfrm>
          <a:off x="7966710" y="1844040"/>
          <a:ext cx="2118360" cy="617220"/>
        </a:xfrm>
        <a:prstGeom prst="bevel">
          <a:avLst/>
        </a:prstGeom>
        <a:solidFill>
          <a:schemeClr val="accent6">
            <a:lumMod val="60000"/>
            <a:lumOff val="4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600">
              <a:solidFill>
                <a:sysClr val="windowText" lastClr="000000"/>
              </a:solidFill>
              <a:latin typeface="01 Digit" panose="00000400000000000000" pitchFamily="2" charset="0"/>
            </a:rPr>
            <a:t>Generar</a:t>
          </a:r>
          <a:endParaRPr lang="es-PE" sz="1600" baseline="0">
            <a:solidFill>
              <a:sysClr val="windowText" lastClr="000000"/>
            </a:solidFill>
            <a:latin typeface="01 Digit" panose="00000400000000000000" pitchFamily="2" charset="0"/>
          </a:endParaRPr>
        </a:p>
        <a:p>
          <a:pPr algn="ctr"/>
          <a:r>
            <a:rPr lang="es-PE" sz="1600">
              <a:solidFill>
                <a:sysClr val="windowText" lastClr="000000"/>
              </a:solidFill>
              <a:latin typeface="01 Digit" panose="00000400000000000000" pitchFamily="2" charset="0"/>
            </a:rPr>
            <a:t>Libretas</a:t>
          </a:r>
          <a:endParaRPr lang="es-PE" sz="1800">
            <a:solidFill>
              <a:sysClr val="windowText" lastClr="000000"/>
            </a:solidFill>
            <a:latin typeface="01 Digit" panose="00000400000000000000" pitchFamily="2" charset="0"/>
          </a:endParaRPr>
        </a:p>
      </xdr:txBody>
    </xdr:sp>
    <xdr:clientData/>
  </xdr:twoCellAnchor>
  <xdr:twoCellAnchor>
    <xdr:from>
      <xdr:col>85</xdr:col>
      <xdr:colOff>133350</xdr:colOff>
      <xdr:row>11</xdr:row>
      <xdr:rowOff>248920</xdr:rowOff>
    </xdr:from>
    <xdr:to>
      <xdr:col>87</xdr:col>
      <xdr:colOff>666750</xdr:colOff>
      <xdr:row>14</xdr:row>
      <xdr:rowOff>180340</xdr:rowOff>
    </xdr:to>
    <xdr:sp macro="[0]!Restart" textlink="">
      <xdr:nvSpPr>
        <xdr:cNvPr id="6" name="Rectángulo: biselado 5">
          <a:extLst>
            <a:ext uri="{FF2B5EF4-FFF2-40B4-BE49-F238E27FC236}">
              <a16:creationId xmlns:a16="http://schemas.microsoft.com/office/drawing/2014/main" id="{40AA78EE-247D-40AE-88A1-049162737E2B}"/>
            </a:ext>
          </a:extLst>
        </xdr:cNvPr>
        <xdr:cNvSpPr/>
      </xdr:nvSpPr>
      <xdr:spPr>
        <a:xfrm>
          <a:off x="7966710" y="2557780"/>
          <a:ext cx="2118360" cy="617220"/>
        </a:xfrm>
        <a:prstGeom prst="bevel">
          <a:avLst/>
        </a:prstGeom>
        <a:solidFill>
          <a:schemeClr val="accent4">
            <a:lumMod val="60000"/>
            <a:lumOff val="40000"/>
          </a:schemeClr>
        </a:solidFill>
        <a:ln>
          <a:solidFill>
            <a:schemeClr val="accent4">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PE" sz="1600" b="0">
              <a:solidFill>
                <a:sysClr val="windowText" lastClr="000000"/>
              </a:solidFill>
              <a:effectLst/>
              <a:latin typeface="01 Digit" panose="00000400000000000000" pitchFamily="2" charset="0"/>
              <a:ea typeface="+mn-ea"/>
              <a:cs typeface="+mn-cs"/>
            </a:rPr>
            <a:t>RESTABLECER</a:t>
          </a:r>
        </a:p>
        <a:p>
          <a:pPr marL="0" marR="0" lvl="0" indent="0" algn="ctr" defTabSz="914400" eaLnBrk="1" fontAlgn="auto" latinLnBrk="0" hangingPunct="1">
            <a:lnSpc>
              <a:spcPct val="100000"/>
            </a:lnSpc>
            <a:spcBef>
              <a:spcPts val="0"/>
            </a:spcBef>
            <a:spcAft>
              <a:spcPts val="0"/>
            </a:spcAft>
            <a:buClrTx/>
            <a:buSzTx/>
            <a:buFontTx/>
            <a:buNone/>
            <a:tabLst/>
            <a:defRPr/>
          </a:pPr>
          <a:r>
            <a:rPr lang="es-PE" sz="1600" b="0" baseline="0">
              <a:solidFill>
                <a:sysClr val="windowText" lastClr="000000"/>
              </a:solidFill>
              <a:effectLst/>
              <a:latin typeface="01 Digit" panose="00000400000000000000" pitchFamily="2" charset="0"/>
              <a:ea typeface="+mn-ea"/>
              <a:cs typeface="+mn-cs"/>
            </a:rPr>
            <a:t>FORMULAS</a:t>
          </a:r>
        </a:p>
      </xdr:txBody>
    </xdr:sp>
    <xdr:clientData/>
  </xdr:twoCellAnchor>
  <xdr:twoCellAnchor>
    <xdr:from>
      <xdr:col>85</xdr:col>
      <xdr:colOff>133350</xdr:colOff>
      <xdr:row>14</xdr:row>
      <xdr:rowOff>276860</xdr:rowOff>
    </xdr:from>
    <xdr:to>
      <xdr:col>87</xdr:col>
      <xdr:colOff>666750</xdr:colOff>
      <xdr:row>16</xdr:row>
      <xdr:rowOff>254000</xdr:rowOff>
    </xdr:to>
    <xdr:sp macro="[0]!InsertFirma" textlink="">
      <xdr:nvSpPr>
        <xdr:cNvPr id="7" name="Rectángulo: biselado 6">
          <a:extLst>
            <a:ext uri="{FF2B5EF4-FFF2-40B4-BE49-F238E27FC236}">
              <a16:creationId xmlns:a16="http://schemas.microsoft.com/office/drawing/2014/main" id="{90D2777E-277A-40EE-BE17-B76AAC5E68C1}"/>
            </a:ext>
          </a:extLst>
        </xdr:cNvPr>
        <xdr:cNvSpPr/>
      </xdr:nvSpPr>
      <xdr:spPr>
        <a:xfrm>
          <a:off x="7966710" y="3271520"/>
          <a:ext cx="2118360" cy="617220"/>
        </a:xfrm>
        <a:prstGeom prst="bevel">
          <a:avLst/>
        </a:prstGeom>
        <a:solidFill>
          <a:schemeClr val="accent5">
            <a:lumMod val="60000"/>
            <a:lumOff val="4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600">
              <a:solidFill>
                <a:sysClr val="windowText" lastClr="000000"/>
              </a:solidFill>
              <a:latin typeface="01 Digit" panose="00000400000000000000" pitchFamily="2" charset="0"/>
            </a:rPr>
            <a:t>INSERTAR</a:t>
          </a:r>
        </a:p>
        <a:p>
          <a:pPr algn="ctr"/>
          <a:r>
            <a:rPr lang="es-PE" sz="1600">
              <a:solidFill>
                <a:sysClr val="windowText" lastClr="000000"/>
              </a:solidFill>
              <a:latin typeface="01 Digit" panose="00000400000000000000" pitchFamily="2" charset="0"/>
            </a:rPr>
            <a:t>FIRMA</a:t>
          </a:r>
        </a:p>
      </xdr:txBody>
    </xdr:sp>
    <xdr:clientData/>
  </xdr:twoCellAnchor>
  <xdr:twoCellAnchor editAs="oneCell">
    <xdr:from>
      <xdr:col>62</xdr:col>
      <xdr:colOff>22860</xdr:colOff>
      <xdr:row>40</xdr:row>
      <xdr:rowOff>106680</xdr:rowOff>
    </xdr:from>
    <xdr:to>
      <xdr:col>83</xdr:col>
      <xdr:colOff>62640</xdr:colOff>
      <xdr:row>45</xdr:row>
      <xdr:rowOff>40214</xdr:rowOff>
    </xdr:to>
    <xdr:pic>
      <xdr:nvPicPr>
        <xdr:cNvPr id="92" name="GERENCIA">
          <a:extLst>
            <a:ext uri="{FF2B5EF4-FFF2-40B4-BE49-F238E27FC236}">
              <a16:creationId xmlns:a16="http://schemas.microsoft.com/office/drawing/2014/main" id="{D93EE77A-48B8-4F46-98CB-E107A40B2EE9}"/>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7887" t="31330" r="42335" b="52082"/>
        <a:stretch/>
      </xdr:blipFill>
      <xdr:spPr bwMode="auto">
        <a:xfrm>
          <a:off x="5219700" y="10462260"/>
          <a:ext cx="1800000" cy="847934"/>
        </a:xfrm>
        <a:prstGeom prst="rect">
          <a:avLst/>
        </a:prstGeom>
        <a:extLst>
          <a:ext uri="{53640926-AAD7-44D8-BBD7-CCE9431645EC}">
            <a14:shadowObscured xmlns:a14="http://schemas.microsoft.com/office/drawing/2010/main"/>
          </a:ext>
        </a:extLst>
      </xdr:spPr>
    </xdr:pic>
    <xdr:clientData/>
  </xdr:twoCellAnchor>
  <xdr:twoCellAnchor editAs="oneCell">
    <xdr:from>
      <xdr:col>42</xdr:col>
      <xdr:colOff>38100</xdr:colOff>
      <xdr:row>40</xdr:row>
      <xdr:rowOff>30480</xdr:rowOff>
    </xdr:from>
    <xdr:to>
      <xdr:col>59</xdr:col>
      <xdr:colOff>55033</xdr:colOff>
      <xdr:row>45</xdr:row>
      <xdr:rowOff>160080</xdr:rowOff>
    </xdr:to>
    <xdr:pic>
      <xdr:nvPicPr>
        <xdr:cNvPr id="93" name="DIRECCIÓN">
          <a:extLst>
            <a:ext uri="{FF2B5EF4-FFF2-40B4-BE49-F238E27FC236}">
              <a16:creationId xmlns:a16="http://schemas.microsoft.com/office/drawing/2014/main" id="{985EBDD9-7EE5-4E7F-9C4A-78794A864D95}"/>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107" t="7963" r="3810" b="3881"/>
        <a:stretch/>
      </xdr:blipFill>
      <xdr:spPr bwMode="auto">
        <a:xfrm>
          <a:off x="3558540" y="10386060"/>
          <a:ext cx="1441873" cy="1044000"/>
        </a:xfrm>
        <a:prstGeom prst="rect">
          <a:avLst/>
        </a:prstGeom>
        <a:extLst>
          <a:ext uri="{53640926-AAD7-44D8-BBD7-CCE9431645EC}">
            <a14:shadowObscured xmlns:a14="http://schemas.microsoft.com/office/drawing/2010/main"/>
          </a:ext>
        </a:extLst>
      </xdr:spPr>
    </xdr:pic>
    <xdr:clientData/>
  </xdr:twoCellAnchor>
  <xdr:twoCellAnchor editAs="oneCell">
    <xdr:from>
      <xdr:col>73</xdr:col>
      <xdr:colOff>15240</xdr:colOff>
      <xdr:row>0</xdr:row>
      <xdr:rowOff>7620</xdr:rowOff>
    </xdr:from>
    <xdr:to>
      <xdr:col>84</xdr:col>
      <xdr:colOff>1270</xdr:colOff>
      <xdr:row>5</xdr:row>
      <xdr:rowOff>1905</xdr:rowOff>
    </xdr:to>
    <xdr:pic>
      <xdr:nvPicPr>
        <xdr:cNvPr id="96" name="FNAI" descr="Logotipo&#10;&#10;Descripción generada automáticamente">
          <a:extLst>
            <a:ext uri="{FF2B5EF4-FFF2-40B4-BE49-F238E27FC236}">
              <a16:creationId xmlns:a16="http://schemas.microsoft.com/office/drawing/2014/main" id="{E971397B-9A04-4186-B3D9-46CC8D2E1F6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134100" y="7620"/>
          <a:ext cx="908050" cy="1007745"/>
        </a:xfrm>
        <a:prstGeom prst="rect">
          <a:avLst/>
        </a:prstGeom>
        <a:noFill/>
        <a:ln>
          <a:noFill/>
        </a:ln>
      </xdr:spPr>
    </xdr:pic>
    <xdr:clientData/>
  </xdr:twoCellAnchor>
  <xdr:twoCellAnchor editAs="oneCell">
    <xdr:from>
      <xdr:col>0</xdr:col>
      <xdr:colOff>0</xdr:colOff>
      <xdr:row>0</xdr:row>
      <xdr:rowOff>0</xdr:rowOff>
    </xdr:from>
    <xdr:to>
      <xdr:col>15</xdr:col>
      <xdr:colOff>40005</xdr:colOff>
      <xdr:row>5</xdr:row>
      <xdr:rowOff>0</xdr:rowOff>
    </xdr:to>
    <xdr:pic>
      <xdr:nvPicPr>
        <xdr:cNvPr id="97" name="MINEDU" descr="Logotipo, nombre de la empresa&#10;&#10;Descripción generada automáticamente">
          <a:extLst>
            <a:ext uri="{FF2B5EF4-FFF2-40B4-BE49-F238E27FC236}">
              <a16:creationId xmlns:a16="http://schemas.microsoft.com/office/drawing/2014/main" id="{86889E77-5F22-4790-8FB1-36969B5032A2}"/>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0334" t="5858" r="10638" b="9624"/>
        <a:stretch/>
      </xdr:blipFill>
      <xdr:spPr bwMode="auto">
        <a:xfrm>
          <a:off x="0" y="0"/>
          <a:ext cx="1297305" cy="100774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62</xdr:col>
      <xdr:colOff>22860</xdr:colOff>
      <xdr:row>40</xdr:row>
      <xdr:rowOff>106680</xdr:rowOff>
    </xdr:from>
    <xdr:to>
      <xdr:col>83</xdr:col>
      <xdr:colOff>62640</xdr:colOff>
      <xdr:row>45</xdr:row>
      <xdr:rowOff>40214</xdr:rowOff>
    </xdr:to>
    <xdr:pic>
      <xdr:nvPicPr>
        <xdr:cNvPr id="13" name="GERENCIA">
          <a:extLst>
            <a:ext uri="{FF2B5EF4-FFF2-40B4-BE49-F238E27FC236}">
              <a16:creationId xmlns:a16="http://schemas.microsoft.com/office/drawing/2014/main" id="{A1F25CCA-B683-443A-973F-32E3E46111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7887" t="31330" r="42335" b="52082"/>
        <a:stretch/>
      </xdr:blipFill>
      <xdr:spPr bwMode="auto">
        <a:xfrm>
          <a:off x="5337810" y="10441305"/>
          <a:ext cx="1840005" cy="886034"/>
        </a:xfrm>
        <a:prstGeom prst="rect">
          <a:avLst/>
        </a:prstGeom>
        <a:extLst>
          <a:ext uri="{53640926-AAD7-44D8-BBD7-CCE9431645EC}">
            <a14:shadowObscured xmlns:a14="http://schemas.microsoft.com/office/drawing/2010/main"/>
          </a:ext>
        </a:extLst>
      </xdr:spPr>
    </xdr:pic>
    <xdr:clientData/>
  </xdr:twoCellAnchor>
  <xdr:twoCellAnchor editAs="oneCell">
    <xdr:from>
      <xdr:col>42</xdr:col>
      <xdr:colOff>38100</xdr:colOff>
      <xdr:row>40</xdr:row>
      <xdr:rowOff>30480</xdr:rowOff>
    </xdr:from>
    <xdr:to>
      <xdr:col>59</xdr:col>
      <xdr:colOff>55033</xdr:colOff>
      <xdr:row>45</xdr:row>
      <xdr:rowOff>160080</xdr:rowOff>
    </xdr:to>
    <xdr:pic>
      <xdr:nvPicPr>
        <xdr:cNvPr id="14" name="DIRECCIÓN">
          <a:extLst>
            <a:ext uri="{FF2B5EF4-FFF2-40B4-BE49-F238E27FC236}">
              <a16:creationId xmlns:a16="http://schemas.microsoft.com/office/drawing/2014/main" id="{7A21C992-F6E2-4D07-846F-C62E5CD5E976}"/>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107" t="7963" r="3810" b="3881"/>
        <a:stretch/>
      </xdr:blipFill>
      <xdr:spPr bwMode="auto">
        <a:xfrm>
          <a:off x="3638550" y="10365105"/>
          <a:ext cx="1474258" cy="1082100"/>
        </a:xfrm>
        <a:prstGeom prst="rect">
          <a:avLst/>
        </a:prstGeom>
        <a:extLst>
          <a:ext uri="{53640926-AAD7-44D8-BBD7-CCE9431645EC}">
            <a14:shadowObscured xmlns:a14="http://schemas.microsoft.com/office/drawing/2010/main"/>
          </a:ext>
        </a:extLst>
      </xdr:spPr>
    </xdr:pic>
    <xdr:clientData/>
  </xdr:twoCellAnchor>
  <xdr:twoCellAnchor editAs="oneCell">
    <xdr:from>
      <xdr:col>73</xdr:col>
      <xdr:colOff>15240</xdr:colOff>
      <xdr:row>0</xdr:row>
      <xdr:rowOff>7620</xdr:rowOff>
    </xdr:from>
    <xdr:to>
      <xdr:col>84</xdr:col>
      <xdr:colOff>1270</xdr:colOff>
      <xdr:row>5</xdr:row>
      <xdr:rowOff>1905</xdr:rowOff>
    </xdr:to>
    <xdr:pic>
      <xdr:nvPicPr>
        <xdr:cNvPr id="15" name="FNAI" descr="Logotipo&#10;&#10;Descripción generada automáticamente">
          <a:extLst>
            <a:ext uri="{FF2B5EF4-FFF2-40B4-BE49-F238E27FC236}">
              <a16:creationId xmlns:a16="http://schemas.microsoft.com/office/drawing/2014/main" id="{F1138124-90E4-4256-A256-0B4E6D7E81F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73165" y="7620"/>
          <a:ext cx="929005" cy="1013460"/>
        </a:xfrm>
        <a:prstGeom prst="rect">
          <a:avLst/>
        </a:prstGeom>
        <a:noFill/>
        <a:ln>
          <a:noFill/>
        </a:ln>
      </xdr:spPr>
    </xdr:pic>
    <xdr:clientData/>
  </xdr:twoCellAnchor>
  <xdr:twoCellAnchor editAs="oneCell">
    <xdr:from>
      <xdr:col>0</xdr:col>
      <xdr:colOff>0</xdr:colOff>
      <xdr:row>0</xdr:row>
      <xdr:rowOff>0</xdr:rowOff>
    </xdr:from>
    <xdr:to>
      <xdr:col>15</xdr:col>
      <xdr:colOff>40005</xdr:colOff>
      <xdr:row>5</xdr:row>
      <xdr:rowOff>0</xdr:rowOff>
    </xdr:to>
    <xdr:pic>
      <xdr:nvPicPr>
        <xdr:cNvPr id="16" name="MINEDU" descr="Logotipo, nombre de la empresa&#10;&#10;Descripción generada automáticamente">
          <a:extLst>
            <a:ext uri="{FF2B5EF4-FFF2-40B4-BE49-F238E27FC236}">
              <a16:creationId xmlns:a16="http://schemas.microsoft.com/office/drawing/2014/main" id="{B7A2CF39-FD14-4E28-A3D3-000E5FF85ED7}"/>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0334" t="5858" r="10638" b="9624"/>
        <a:stretch/>
      </xdr:blipFill>
      <xdr:spPr bwMode="auto">
        <a:xfrm>
          <a:off x="0" y="0"/>
          <a:ext cx="1325880" cy="101917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62</xdr:col>
      <xdr:colOff>22860</xdr:colOff>
      <xdr:row>40</xdr:row>
      <xdr:rowOff>106680</xdr:rowOff>
    </xdr:from>
    <xdr:to>
      <xdr:col>83</xdr:col>
      <xdr:colOff>62640</xdr:colOff>
      <xdr:row>45</xdr:row>
      <xdr:rowOff>40214</xdr:rowOff>
    </xdr:to>
    <xdr:pic>
      <xdr:nvPicPr>
        <xdr:cNvPr id="21" name="GERENCIA">
          <a:extLst>
            <a:ext uri="{FF2B5EF4-FFF2-40B4-BE49-F238E27FC236}">
              <a16:creationId xmlns:a16="http://schemas.microsoft.com/office/drawing/2014/main" id="{195F96FA-9548-4D54-A386-CD5E7A7CCC5C}"/>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7887" t="31330" r="42335" b="52082"/>
        <a:stretch/>
      </xdr:blipFill>
      <xdr:spPr bwMode="auto">
        <a:xfrm>
          <a:off x="5692140" y="10492740"/>
          <a:ext cx="1960020" cy="847934"/>
        </a:xfrm>
        <a:prstGeom prst="rect">
          <a:avLst/>
        </a:prstGeom>
        <a:extLst>
          <a:ext uri="{53640926-AAD7-44D8-BBD7-CCE9431645EC}">
            <a14:shadowObscured xmlns:a14="http://schemas.microsoft.com/office/drawing/2010/main"/>
          </a:ext>
        </a:extLst>
      </xdr:spPr>
    </xdr:pic>
    <xdr:clientData/>
  </xdr:twoCellAnchor>
  <xdr:twoCellAnchor editAs="oneCell">
    <xdr:from>
      <xdr:col>42</xdr:col>
      <xdr:colOff>38100</xdr:colOff>
      <xdr:row>40</xdr:row>
      <xdr:rowOff>30480</xdr:rowOff>
    </xdr:from>
    <xdr:to>
      <xdr:col>59</xdr:col>
      <xdr:colOff>55033</xdr:colOff>
      <xdr:row>45</xdr:row>
      <xdr:rowOff>160080</xdr:rowOff>
    </xdr:to>
    <xdr:pic>
      <xdr:nvPicPr>
        <xdr:cNvPr id="22" name="DIRECCIÓN">
          <a:extLst>
            <a:ext uri="{FF2B5EF4-FFF2-40B4-BE49-F238E27FC236}">
              <a16:creationId xmlns:a16="http://schemas.microsoft.com/office/drawing/2014/main" id="{1304CEBB-3740-4FF0-82CF-89ACF6664A93}"/>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107" t="7963" r="3810" b="3881"/>
        <a:stretch/>
      </xdr:blipFill>
      <xdr:spPr bwMode="auto">
        <a:xfrm>
          <a:off x="3878580" y="10416540"/>
          <a:ext cx="1571413" cy="1044000"/>
        </a:xfrm>
        <a:prstGeom prst="rect">
          <a:avLst/>
        </a:prstGeom>
        <a:extLst>
          <a:ext uri="{53640926-AAD7-44D8-BBD7-CCE9431645EC}">
            <a14:shadowObscured xmlns:a14="http://schemas.microsoft.com/office/drawing/2010/main"/>
          </a:ext>
        </a:extLst>
      </xdr:spPr>
    </xdr:pic>
    <xdr:clientData/>
  </xdr:twoCellAnchor>
  <xdr:twoCellAnchor editAs="oneCell">
    <xdr:from>
      <xdr:col>73</xdr:col>
      <xdr:colOff>15240</xdr:colOff>
      <xdr:row>0</xdr:row>
      <xdr:rowOff>7620</xdr:rowOff>
    </xdr:from>
    <xdr:to>
      <xdr:col>84</xdr:col>
      <xdr:colOff>1270</xdr:colOff>
      <xdr:row>5</xdr:row>
      <xdr:rowOff>1905</xdr:rowOff>
    </xdr:to>
    <xdr:pic>
      <xdr:nvPicPr>
        <xdr:cNvPr id="23" name="FNAI" descr="Logotipo&#10;&#10;Descripción generada automáticamente">
          <a:extLst>
            <a:ext uri="{FF2B5EF4-FFF2-40B4-BE49-F238E27FC236}">
              <a16:creationId xmlns:a16="http://schemas.microsoft.com/office/drawing/2014/main" id="{75EC0FB3-3692-4D08-98D6-D4BA0A8CDC5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690360" y="7620"/>
          <a:ext cx="991870" cy="1007745"/>
        </a:xfrm>
        <a:prstGeom prst="rect">
          <a:avLst/>
        </a:prstGeom>
        <a:noFill/>
        <a:ln>
          <a:noFill/>
        </a:ln>
      </xdr:spPr>
    </xdr:pic>
    <xdr:clientData/>
  </xdr:twoCellAnchor>
  <xdr:twoCellAnchor editAs="oneCell">
    <xdr:from>
      <xdr:col>0</xdr:col>
      <xdr:colOff>0</xdr:colOff>
      <xdr:row>0</xdr:row>
      <xdr:rowOff>0</xdr:rowOff>
    </xdr:from>
    <xdr:to>
      <xdr:col>15</xdr:col>
      <xdr:colOff>40005</xdr:colOff>
      <xdr:row>4</xdr:row>
      <xdr:rowOff>276225</xdr:rowOff>
    </xdr:to>
    <xdr:pic>
      <xdr:nvPicPr>
        <xdr:cNvPr id="24" name="MINEDU" descr="Logotipo, nombre de la empresa&#10;&#10;Descripción generada automáticamente">
          <a:extLst>
            <a:ext uri="{FF2B5EF4-FFF2-40B4-BE49-F238E27FC236}">
              <a16:creationId xmlns:a16="http://schemas.microsoft.com/office/drawing/2014/main" id="{D75E3E57-044B-434E-9B63-F888FEF80F28}"/>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0334" t="5858" r="10638" b="9624"/>
        <a:stretch/>
      </xdr:blipFill>
      <xdr:spPr bwMode="auto">
        <a:xfrm>
          <a:off x="0" y="0"/>
          <a:ext cx="1411605" cy="100774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62</xdr:col>
      <xdr:colOff>22860</xdr:colOff>
      <xdr:row>40</xdr:row>
      <xdr:rowOff>106680</xdr:rowOff>
    </xdr:from>
    <xdr:to>
      <xdr:col>83</xdr:col>
      <xdr:colOff>62640</xdr:colOff>
      <xdr:row>45</xdr:row>
      <xdr:rowOff>40214</xdr:rowOff>
    </xdr:to>
    <xdr:pic>
      <xdr:nvPicPr>
        <xdr:cNvPr id="29" name="GERENCIA">
          <a:extLst>
            <a:ext uri="{FF2B5EF4-FFF2-40B4-BE49-F238E27FC236}">
              <a16:creationId xmlns:a16="http://schemas.microsoft.com/office/drawing/2014/main" id="{5C2B7B33-9A73-4C07-8E81-C0C7C5B58E51}"/>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7887" t="31330" r="42335" b="52082"/>
        <a:stretch/>
      </xdr:blipFill>
      <xdr:spPr bwMode="auto">
        <a:xfrm>
          <a:off x="5692140" y="10492740"/>
          <a:ext cx="1960020" cy="847934"/>
        </a:xfrm>
        <a:prstGeom prst="rect">
          <a:avLst/>
        </a:prstGeom>
        <a:extLst>
          <a:ext uri="{53640926-AAD7-44D8-BBD7-CCE9431645EC}">
            <a14:shadowObscured xmlns:a14="http://schemas.microsoft.com/office/drawing/2010/main"/>
          </a:ext>
        </a:extLst>
      </xdr:spPr>
    </xdr:pic>
    <xdr:clientData/>
  </xdr:twoCellAnchor>
  <xdr:twoCellAnchor editAs="oneCell">
    <xdr:from>
      <xdr:col>42</xdr:col>
      <xdr:colOff>38100</xdr:colOff>
      <xdr:row>40</xdr:row>
      <xdr:rowOff>30480</xdr:rowOff>
    </xdr:from>
    <xdr:to>
      <xdr:col>59</xdr:col>
      <xdr:colOff>55033</xdr:colOff>
      <xdr:row>45</xdr:row>
      <xdr:rowOff>160080</xdr:rowOff>
    </xdr:to>
    <xdr:pic>
      <xdr:nvPicPr>
        <xdr:cNvPr id="30" name="DIRECCIÓN">
          <a:extLst>
            <a:ext uri="{FF2B5EF4-FFF2-40B4-BE49-F238E27FC236}">
              <a16:creationId xmlns:a16="http://schemas.microsoft.com/office/drawing/2014/main" id="{A4BA85AB-6C3F-4FBD-B31D-1F01B578469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107" t="7963" r="3810" b="3881"/>
        <a:stretch/>
      </xdr:blipFill>
      <xdr:spPr bwMode="auto">
        <a:xfrm>
          <a:off x="3878580" y="10416540"/>
          <a:ext cx="1571413" cy="1044000"/>
        </a:xfrm>
        <a:prstGeom prst="rect">
          <a:avLst/>
        </a:prstGeom>
        <a:extLst>
          <a:ext uri="{53640926-AAD7-44D8-BBD7-CCE9431645EC}">
            <a14:shadowObscured xmlns:a14="http://schemas.microsoft.com/office/drawing/2010/main"/>
          </a:ext>
        </a:extLst>
      </xdr:spPr>
    </xdr:pic>
    <xdr:clientData/>
  </xdr:twoCellAnchor>
  <xdr:twoCellAnchor editAs="oneCell">
    <xdr:from>
      <xdr:col>73</xdr:col>
      <xdr:colOff>15240</xdr:colOff>
      <xdr:row>0</xdr:row>
      <xdr:rowOff>7620</xdr:rowOff>
    </xdr:from>
    <xdr:to>
      <xdr:col>84</xdr:col>
      <xdr:colOff>1270</xdr:colOff>
      <xdr:row>5</xdr:row>
      <xdr:rowOff>1905</xdr:rowOff>
    </xdr:to>
    <xdr:pic>
      <xdr:nvPicPr>
        <xdr:cNvPr id="31" name="FNAI" descr="Logotipo&#10;&#10;Descripción generada automáticamente">
          <a:extLst>
            <a:ext uri="{FF2B5EF4-FFF2-40B4-BE49-F238E27FC236}">
              <a16:creationId xmlns:a16="http://schemas.microsoft.com/office/drawing/2014/main" id="{1C853497-7761-4D73-B9AB-8033794DDEF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690360" y="7620"/>
          <a:ext cx="991870" cy="1007745"/>
        </a:xfrm>
        <a:prstGeom prst="rect">
          <a:avLst/>
        </a:prstGeom>
        <a:noFill/>
        <a:ln>
          <a:noFill/>
        </a:ln>
      </xdr:spPr>
    </xdr:pic>
    <xdr:clientData/>
  </xdr:twoCellAnchor>
  <xdr:twoCellAnchor editAs="oneCell">
    <xdr:from>
      <xdr:col>0</xdr:col>
      <xdr:colOff>0</xdr:colOff>
      <xdr:row>0</xdr:row>
      <xdr:rowOff>0</xdr:rowOff>
    </xdr:from>
    <xdr:to>
      <xdr:col>15</xdr:col>
      <xdr:colOff>40005</xdr:colOff>
      <xdr:row>4</xdr:row>
      <xdr:rowOff>276225</xdr:rowOff>
    </xdr:to>
    <xdr:pic>
      <xdr:nvPicPr>
        <xdr:cNvPr id="32" name="MINEDU" descr="Logotipo, nombre de la empresa&#10;&#10;Descripción generada automáticamente">
          <a:extLst>
            <a:ext uri="{FF2B5EF4-FFF2-40B4-BE49-F238E27FC236}">
              <a16:creationId xmlns:a16="http://schemas.microsoft.com/office/drawing/2014/main" id="{819A6C8D-679F-4A25-9836-D33AC2327AE1}"/>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0334" t="5858" r="10638" b="9624"/>
        <a:stretch/>
      </xdr:blipFill>
      <xdr:spPr bwMode="auto">
        <a:xfrm>
          <a:off x="0" y="0"/>
          <a:ext cx="1411605" cy="100774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67</xdr:col>
      <xdr:colOff>4307</xdr:colOff>
      <xdr:row>60</xdr:row>
      <xdr:rowOff>20954</xdr:rowOff>
    </xdr:from>
    <xdr:to>
      <xdr:col>82</xdr:col>
      <xdr:colOff>87132</xdr:colOff>
      <xdr:row>77</xdr:row>
      <xdr:rowOff>62864</xdr:rowOff>
    </xdr:to>
    <xdr:pic>
      <xdr:nvPicPr>
        <xdr:cNvPr id="33" name="FIRMA 1">
          <a:extLst>
            <a:ext uri="{FF2B5EF4-FFF2-40B4-BE49-F238E27FC236}">
              <a16:creationId xmlns:a16="http://schemas.microsoft.com/office/drawing/2014/main" id="{7C322292-1769-42D8-802E-15A953DF19C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30787" y="15017114"/>
          <a:ext cx="1454425" cy="1466850"/>
        </a:xfrm>
        <a:prstGeom prst="rect">
          <a:avLst/>
        </a:prstGeom>
      </xdr:spPr>
    </xdr:pic>
    <xdr:clientData/>
  </xdr:twoCellAnchor>
  <xdr:twoCellAnchor editAs="oneCell">
    <xdr:from>
      <xdr:col>67</xdr:col>
      <xdr:colOff>4307</xdr:colOff>
      <xdr:row>78</xdr:row>
      <xdr:rowOff>20955</xdr:rowOff>
    </xdr:from>
    <xdr:to>
      <xdr:col>82</xdr:col>
      <xdr:colOff>87132</xdr:colOff>
      <xdr:row>95</xdr:row>
      <xdr:rowOff>62865</xdr:rowOff>
    </xdr:to>
    <xdr:pic>
      <xdr:nvPicPr>
        <xdr:cNvPr id="34" name="FIRMA 2">
          <a:extLst>
            <a:ext uri="{FF2B5EF4-FFF2-40B4-BE49-F238E27FC236}">
              <a16:creationId xmlns:a16="http://schemas.microsoft.com/office/drawing/2014/main" id="{39AA920F-1375-4261-A07D-23FE76A17EC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30787" y="16525875"/>
          <a:ext cx="1454425" cy="1466850"/>
        </a:xfrm>
        <a:prstGeom prst="rect">
          <a:avLst/>
        </a:prstGeom>
      </xdr:spPr>
    </xdr:pic>
    <xdr:clientData/>
  </xdr:twoCellAnchor>
  <xdr:twoCellAnchor editAs="oneCell">
    <xdr:from>
      <xdr:col>67</xdr:col>
      <xdr:colOff>4307</xdr:colOff>
      <xdr:row>96</xdr:row>
      <xdr:rowOff>20956</xdr:rowOff>
    </xdr:from>
    <xdr:to>
      <xdr:col>82</xdr:col>
      <xdr:colOff>87132</xdr:colOff>
      <xdr:row>113</xdr:row>
      <xdr:rowOff>62866</xdr:rowOff>
    </xdr:to>
    <xdr:pic>
      <xdr:nvPicPr>
        <xdr:cNvPr id="35" name="FIRMA 3">
          <a:extLst>
            <a:ext uri="{FF2B5EF4-FFF2-40B4-BE49-F238E27FC236}">
              <a16:creationId xmlns:a16="http://schemas.microsoft.com/office/drawing/2014/main" id="{CA559182-A73A-46F2-B526-B625EB1C3FE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30787" y="18034636"/>
          <a:ext cx="1454425" cy="1466850"/>
        </a:xfrm>
        <a:prstGeom prst="rect">
          <a:avLst/>
        </a:prstGeom>
      </xdr:spPr>
    </xdr:pic>
    <xdr:clientData/>
  </xdr:twoCellAnchor>
  <xdr:twoCellAnchor editAs="oneCell">
    <xdr:from>
      <xdr:col>67</xdr:col>
      <xdr:colOff>4307</xdr:colOff>
      <xdr:row>114</xdr:row>
      <xdr:rowOff>20955</xdr:rowOff>
    </xdr:from>
    <xdr:to>
      <xdr:col>82</xdr:col>
      <xdr:colOff>87132</xdr:colOff>
      <xdr:row>131</xdr:row>
      <xdr:rowOff>62865</xdr:rowOff>
    </xdr:to>
    <xdr:pic>
      <xdr:nvPicPr>
        <xdr:cNvPr id="36" name="FIRMA 4" hidden="1">
          <a:extLst>
            <a:ext uri="{FF2B5EF4-FFF2-40B4-BE49-F238E27FC236}">
              <a16:creationId xmlns:a16="http://schemas.microsoft.com/office/drawing/2014/main" id="{038E17DF-54FA-49C5-8AAC-6DC0982FA2C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30787" y="19543395"/>
          <a:ext cx="1454425" cy="1466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62</xdr:col>
      <xdr:colOff>22860</xdr:colOff>
      <xdr:row>40</xdr:row>
      <xdr:rowOff>106680</xdr:rowOff>
    </xdr:from>
    <xdr:to>
      <xdr:col>83</xdr:col>
      <xdr:colOff>62640</xdr:colOff>
      <xdr:row>45</xdr:row>
      <xdr:rowOff>40214</xdr:rowOff>
    </xdr:to>
    <xdr:pic>
      <xdr:nvPicPr>
        <xdr:cNvPr id="6" name="GERENCIA">
          <a:extLst>
            <a:ext uri="{FF2B5EF4-FFF2-40B4-BE49-F238E27FC236}">
              <a16:creationId xmlns:a16="http://schemas.microsoft.com/office/drawing/2014/main" id="{E8756F1F-C736-4AB7-80C5-DD0644ECF2CC}"/>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7887" t="31330" r="42335" b="52082"/>
        <a:stretch/>
      </xdr:blipFill>
      <xdr:spPr bwMode="auto">
        <a:xfrm>
          <a:off x="5219700" y="10462260"/>
          <a:ext cx="1800000" cy="847934"/>
        </a:xfrm>
        <a:prstGeom prst="rect">
          <a:avLst/>
        </a:prstGeom>
        <a:extLst>
          <a:ext uri="{53640926-AAD7-44D8-BBD7-CCE9431645EC}">
            <a14:shadowObscured xmlns:a14="http://schemas.microsoft.com/office/drawing/2010/main"/>
          </a:ext>
        </a:extLst>
      </xdr:spPr>
    </xdr:pic>
    <xdr:clientData/>
  </xdr:twoCellAnchor>
  <xdr:twoCellAnchor editAs="oneCell">
    <xdr:from>
      <xdr:col>42</xdr:col>
      <xdr:colOff>38100</xdr:colOff>
      <xdr:row>40</xdr:row>
      <xdr:rowOff>30480</xdr:rowOff>
    </xdr:from>
    <xdr:to>
      <xdr:col>59</xdr:col>
      <xdr:colOff>55033</xdr:colOff>
      <xdr:row>45</xdr:row>
      <xdr:rowOff>160080</xdr:rowOff>
    </xdr:to>
    <xdr:pic>
      <xdr:nvPicPr>
        <xdr:cNvPr id="7" name="DIRECCIÓN">
          <a:extLst>
            <a:ext uri="{FF2B5EF4-FFF2-40B4-BE49-F238E27FC236}">
              <a16:creationId xmlns:a16="http://schemas.microsoft.com/office/drawing/2014/main" id="{5FB0E44D-A0D1-42CB-9592-FAD361BC5C0B}"/>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107" t="7963" r="3810" b="3881"/>
        <a:stretch/>
      </xdr:blipFill>
      <xdr:spPr bwMode="auto">
        <a:xfrm>
          <a:off x="3558540" y="10386060"/>
          <a:ext cx="1441873" cy="1044000"/>
        </a:xfrm>
        <a:prstGeom prst="rect">
          <a:avLst/>
        </a:prstGeom>
        <a:extLst>
          <a:ext uri="{53640926-AAD7-44D8-BBD7-CCE9431645EC}">
            <a14:shadowObscured xmlns:a14="http://schemas.microsoft.com/office/drawing/2010/main"/>
          </a:ext>
        </a:extLst>
      </xdr:spPr>
    </xdr:pic>
    <xdr:clientData/>
  </xdr:twoCellAnchor>
  <xdr:twoCellAnchor editAs="oneCell">
    <xdr:from>
      <xdr:col>73</xdr:col>
      <xdr:colOff>15240</xdr:colOff>
      <xdr:row>0</xdr:row>
      <xdr:rowOff>7620</xdr:rowOff>
    </xdr:from>
    <xdr:to>
      <xdr:col>84</xdr:col>
      <xdr:colOff>1270</xdr:colOff>
      <xdr:row>5</xdr:row>
      <xdr:rowOff>1905</xdr:rowOff>
    </xdr:to>
    <xdr:pic>
      <xdr:nvPicPr>
        <xdr:cNvPr id="10" name="FNAI" descr="Logotipo&#10;&#10;Descripción generada automáticamente">
          <a:extLst>
            <a:ext uri="{FF2B5EF4-FFF2-40B4-BE49-F238E27FC236}">
              <a16:creationId xmlns:a16="http://schemas.microsoft.com/office/drawing/2014/main" id="{FBFCC791-E77D-4C4A-9162-0E1EE26650C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134100" y="7620"/>
          <a:ext cx="908050" cy="1007745"/>
        </a:xfrm>
        <a:prstGeom prst="rect">
          <a:avLst/>
        </a:prstGeom>
        <a:noFill/>
        <a:ln>
          <a:noFill/>
        </a:ln>
      </xdr:spPr>
    </xdr:pic>
    <xdr:clientData/>
  </xdr:twoCellAnchor>
  <xdr:twoCellAnchor editAs="oneCell">
    <xdr:from>
      <xdr:col>0</xdr:col>
      <xdr:colOff>0</xdr:colOff>
      <xdr:row>0</xdr:row>
      <xdr:rowOff>0</xdr:rowOff>
    </xdr:from>
    <xdr:to>
      <xdr:col>15</xdr:col>
      <xdr:colOff>40005</xdr:colOff>
      <xdr:row>4</xdr:row>
      <xdr:rowOff>276225</xdr:rowOff>
    </xdr:to>
    <xdr:pic>
      <xdr:nvPicPr>
        <xdr:cNvPr id="11" name="MINEDU" descr="Logotipo, nombre de la empresa&#10;&#10;Descripción generada automáticamente">
          <a:extLst>
            <a:ext uri="{FF2B5EF4-FFF2-40B4-BE49-F238E27FC236}">
              <a16:creationId xmlns:a16="http://schemas.microsoft.com/office/drawing/2014/main" id="{923C1810-31B8-4100-9793-BCCDD29DA89B}"/>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0334" t="5858" r="10638" b="9624"/>
        <a:stretch/>
      </xdr:blipFill>
      <xdr:spPr bwMode="auto">
        <a:xfrm>
          <a:off x="0" y="0"/>
          <a:ext cx="1297305" cy="100774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67</xdr:col>
      <xdr:colOff>4307</xdr:colOff>
      <xdr:row>60</xdr:row>
      <xdr:rowOff>20954</xdr:rowOff>
    </xdr:from>
    <xdr:to>
      <xdr:col>82</xdr:col>
      <xdr:colOff>87132</xdr:colOff>
      <xdr:row>77</xdr:row>
      <xdr:rowOff>62864</xdr:rowOff>
    </xdr:to>
    <xdr:pic>
      <xdr:nvPicPr>
        <xdr:cNvPr id="19" name="FIRMA 1">
          <a:extLst>
            <a:ext uri="{FF2B5EF4-FFF2-40B4-BE49-F238E27FC236}">
              <a16:creationId xmlns:a16="http://schemas.microsoft.com/office/drawing/2014/main" id="{04A9A6F0-416A-3A52-0C30-4663F402FB5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30787" y="15017114"/>
          <a:ext cx="1454425" cy="1466850"/>
        </a:xfrm>
        <a:prstGeom prst="rect">
          <a:avLst/>
        </a:prstGeom>
      </xdr:spPr>
    </xdr:pic>
    <xdr:clientData/>
  </xdr:twoCellAnchor>
  <xdr:twoCellAnchor editAs="oneCell">
    <xdr:from>
      <xdr:col>67</xdr:col>
      <xdr:colOff>4307</xdr:colOff>
      <xdr:row>78</xdr:row>
      <xdr:rowOff>20955</xdr:rowOff>
    </xdr:from>
    <xdr:to>
      <xdr:col>82</xdr:col>
      <xdr:colOff>87132</xdr:colOff>
      <xdr:row>95</xdr:row>
      <xdr:rowOff>62865</xdr:rowOff>
    </xdr:to>
    <xdr:pic>
      <xdr:nvPicPr>
        <xdr:cNvPr id="21" name="FIRMA 2">
          <a:extLst>
            <a:ext uri="{FF2B5EF4-FFF2-40B4-BE49-F238E27FC236}">
              <a16:creationId xmlns:a16="http://schemas.microsoft.com/office/drawing/2014/main" id="{19A1D7CC-54B5-9198-FC85-C5E457D54C3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30787" y="16525875"/>
          <a:ext cx="1454425" cy="1466850"/>
        </a:xfrm>
        <a:prstGeom prst="rect">
          <a:avLst/>
        </a:prstGeom>
      </xdr:spPr>
    </xdr:pic>
    <xdr:clientData/>
  </xdr:twoCellAnchor>
  <xdr:twoCellAnchor editAs="oneCell">
    <xdr:from>
      <xdr:col>67</xdr:col>
      <xdr:colOff>4307</xdr:colOff>
      <xdr:row>96</xdr:row>
      <xdr:rowOff>20956</xdr:rowOff>
    </xdr:from>
    <xdr:to>
      <xdr:col>82</xdr:col>
      <xdr:colOff>87132</xdr:colOff>
      <xdr:row>113</xdr:row>
      <xdr:rowOff>62866</xdr:rowOff>
    </xdr:to>
    <xdr:pic>
      <xdr:nvPicPr>
        <xdr:cNvPr id="23" name="FIRMA 3">
          <a:extLst>
            <a:ext uri="{FF2B5EF4-FFF2-40B4-BE49-F238E27FC236}">
              <a16:creationId xmlns:a16="http://schemas.microsoft.com/office/drawing/2014/main" id="{F43E4C9C-5078-157D-87B6-973033FD04F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30787" y="18034636"/>
          <a:ext cx="1454425" cy="1466850"/>
        </a:xfrm>
        <a:prstGeom prst="rect">
          <a:avLst/>
        </a:prstGeom>
      </xdr:spPr>
    </xdr:pic>
    <xdr:clientData/>
  </xdr:twoCellAnchor>
  <xdr:twoCellAnchor editAs="oneCell">
    <xdr:from>
      <xdr:col>67</xdr:col>
      <xdr:colOff>4307</xdr:colOff>
      <xdr:row>114</xdr:row>
      <xdr:rowOff>20955</xdr:rowOff>
    </xdr:from>
    <xdr:to>
      <xdr:col>82</xdr:col>
      <xdr:colOff>87132</xdr:colOff>
      <xdr:row>131</xdr:row>
      <xdr:rowOff>62865</xdr:rowOff>
    </xdr:to>
    <xdr:pic>
      <xdr:nvPicPr>
        <xdr:cNvPr id="25" name="FIRMA 4">
          <a:extLst>
            <a:ext uri="{FF2B5EF4-FFF2-40B4-BE49-F238E27FC236}">
              <a16:creationId xmlns:a16="http://schemas.microsoft.com/office/drawing/2014/main" id="{D1E3DA7E-EEB0-EEB1-0519-CBFBA97FA72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30787" y="19543395"/>
          <a:ext cx="1454425" cy="146685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9809D-1F4E-426A-9E74-3515C2F6A071}">
  <sheetPr codeName="Hoja1"/>
  <dimension ref="A3:CN132"/>
  <sheetViews>
    <sheetView showGridLines="0" topLeftCell="A37" zoomScaleNormal="100" zoomScaleSheetLayoutView="70" workbookViewId="0">
      <selection activeCell="AF23" sqref="AF23:AO23"/>
    </sheetView>
  </sheetViews>
  <sheetFormatPr baseColWidth="10" defaultColWidth="11.5703125" defaultRowHeight="15" x14ac:dyDescent="0.25"/>
  <cols>
    <col min="1" max="84" width="1.28515625" style="20" customWidth="1"/>
    <col min="85" max="85" width="11.5703125" style="18"/>
    <col min="86" max="88" width="11.5703125" style="19"/>
    <col min="89" max="92" width="3.28515625" style="18" bestFit="1" customWidth="1"/>
    <col min="93" max="16384" width="11.5703125" style="19"/>
  </cols>
  <sheetData>
    <row r="3" spans="1:92" ht="14.45" customHeight="1" x14ac:dyDescent="0.25">
      <c r="A3" s="23"/>
      <c r="B3" s="24"/>
      <c r="C3" s="24"/>
      <c r="D3" s="24"/>
      <c r="E3" s="24"/>
      <c r="F3" s="24"/>
      <c r="G3" s="24"/>
      <c r="H3" s="24"/>
      <c r="I3" s="24"/>
      <c r="J3" s="24"/>
      <c r="K3" s="24"/>
      <c r="L3" s="24"/>
      <c r="M3" s="24"/>
      <c r="N3" s="24"/>
      <c r="O3" s="24"/>
      <c r="P3" s="24"/>
      <c r="R3" s="23"/>
      <c r="S3" s="99" t="str">
        <f ca="1">"INFORME DE PROGRESO DE LAS COMPETENCIAS DEL ESTUDIANTE – INICIAL " &amp; YEAR(TODAY())</f>
        <v>INFORME DE PROGRESO DE LAS COMPETENCIAS DEL ESTUDIANTE – INICIAL 2022</v>
      </c>
      <c r="T3" s="99"/>
      <c r="U3" s="99"/>
      <c r="V3" s="99"/>
      <c r="W3" s="99"/>
      <c r="X3" s="99"/>
      <c r="Y3" s="99"/>
      <c r="Z3" s="99"/>
      <c r="AA3" s="99"/>
      <c r="AB3" s="99"/>
      <c r="AC3" s="99"/>
      <c r="AD3" s="99"/>
      <c r="AE3" s="99"/>
      <c r="AF3" s="99"/>
      <c r="AG3" s="99"/>
      <c r="AH3" s="99"/>
      <c r="AI3" s="99"/>
      <c r="AJ3" s="99"/>
      <c r="AK3" s="99"/>
      <c r="AL3" s="99"/>
      <c r="AM3" s="99"/>
      <c r="AN3" s="99"/>
      <c r="AO3" s="99"/>
      <c r="AP3" s="99"/>
      <c r="AQ3" s="99"/>
      <c r="AR3" s="99"/>
      <c r="AS3" s="99"/>
      <c r="AT3" s="99"/>
      <c r="AU3" s="99"/>
      <c r="AV3" s="99"/>
      <c r="AW3" s="99"/>
      <c r="AX3" s="99"/>
      <c r="AY3" s="99"/>
      <c r="AZ3" s="99"/>
      <c r="BA3" s="99"/>
      <c r="BB3" s="99"/>
      <c r="BC3" s="99"/>
      <c r="BD3" s="99"/>
      <c r="BE3" s="99"/>
      <c r="BF3" s="99"/>
      <c r="BG3" s="99"/>
      <c r="BH3" s="99"/>
      <c r="BI3" s="99"/>
      <c r="BJ3" s="99"/>
      <c r="BK3" s="99"/>
      <c r="BL3" s="99"/>
      <c r="BM3" s="99"/>
      <c r="BN3" s="99"/>
      <c r="BO3" s="99"/>
      <c r="BP3" s="99"/>
      <c r="BQ3" s="99"/>
      <c r="BR3" s="99"/>
      <c r="BS3" s="99"/>
      <c r="BT3" s="23"/>
      <c r="BU3" s="23"/>
      <c r="BV3" s="24"/>
      <c r="BW3" s="24"/>
      <c r="BX3" s="24"/>
      <c r="BY3" s="24"/>
      <c r="BZ3" s="24"/>
      <c r="CA3" s="24"/>
      <c r="CB3" s="24"/>
      <c r="CC3" s="24"/>
      <c r="CD3" s="24"/>
      <c r="CE3" s="24"/>
      <c r="CF3" s="24"/>
    </row>
    <row r="4" spans="1:92" ht="14.45" customHeight="1" x14ac:dyDescent="0.25">
      <c r="A4" s="24"/>
      <c r="B4" s="24"/>
      <c r="C4" s="24"/>
      <c r="D4" s="24"/>
      <c r="E4" s="24"/>
      <c r="F4" s="24"/>
      <c r="G4" s="24"/>
      <c r="H4" s="24"/>
      <c r="I4" s="24"/>
      <c r="J4" s="24"/>
      <c r="K4" s="24"/>
      <c r="L4" s="24"/>
      <c r="M4" s="24"/>
      <c r="N4" s="24"/>
      <c r="O4" s="24"/>
      <c r="P4" s="24"/>
      <c r="Q4" s="23"/>
      <c r="R4" s="23"/>
      <c r="S4" s="99"/>
      <c r="T4" s="99"/>
      <c r="U4" s="99"/>
      <c r="V4" s="99"/>
      <c r="W4" s="99"/>
      <c r="X4" s="99"/>
      <c r="Y4" s="99"/>
      <c r="Z4" s="99"/>
      <c r="AA4" s="99"/>
      <c r="AB4" s="99"/>
      <c r="AC4" s="99"/>
      <c r="AD4" s="99"/>
      <c r="AE4" s="99"/>
      <c r="AF4" s="99"/>
      <c r="AG4" s="99"/>
      <c r="AH4" s="99"/>
      <c r="AI4" s="99"/>
      <c r="AJ4" s="99"/>
      <c r="AK4" s="99"/>
      <c r="AL4" s="99"/>
      <c r="AM4" s="99"/>
      <c r="AN4" s="99"/>
      <c r="AO4" s="99"/>
      <c r="AP4" s="99"/>
      <c r="AQ4" s="99"/>
      <c r="AR4" s="99"/>
      <c r="AS4" s="99"/>
      <c r="AT4" s="99"/>
      <c r="AU4" s="99"/>
      <c r="AV4" s="99"/>
      <c r="AW4" s="99"/>
      <c r="AX4" s="99"/>
      <c r="AY4" s="99"/>
      <c r="AZ4" s="99"/>
      <c r="BA4" s="99"/>
      <c r="BB4" s="99"/>
      <c r="BC4" s="99"/>
      <c r="BD4" s="99"/>
      <c r="BE4" s="99"/>
      <c r="BF4" s="99"/>
      <c r="BG4" s="99"/>
      <c r="BH4" s="99"/>
      <c r="BI4" s="99"/>
      <c r="BJ4" s="99"/>
      <c r="BK4" s="99"/>
      <c r="BL4" s="99"/>
      <c r="BM4" s="99"/>
      <c r="BN4" s="99"/>
      <c r="BO4" s="99"/>
      <c r="BP4" s="99"/>
      <c r="BQ4" s="99"/>
      <c r="BR4" s="99"/>
      <c r="BS4" s="99"/>
      <c r="BT4" s="23"/>
      <c r="BU4" s="23"/>
      <c r="BV4" s="24"/>
      <c r="BW4" s="24"/>
      <c r="BX4" s="24"/>
      <c r="BY4" s="24"/>
      <c r="BZ4" s="24"/>
      <c r="CA4" s="24"/>
      <c r="CB4" s="24"/>
      <c r="CC4" s="24"/>
      <c r="CD4" s="24"/>
      <c r="CE4" s="24"/>
      <c r="CF4" s="24"/>
    </row>
    <row r="5" spans="1:92" ht="22.15" customHeight="1" x14ac:dyDescent="0.25">
      <c r="A5" s="24"/>
      <c r="B5" s="24"/>
      <c r="C5" s="24"/>
      <c r="D5" s="24"/>
      <c r="E5" s="24"/>
      <c r="F5" s="24"/>
      <c r="G5" s="24"/>
      <c r="H5" s="24"/>
      <c r="I5" s="24"/>
      <c r="J5" s="24"/>
      <c r="K5" s="24"/>
      <c r="L5" s="24"/>
      <c r="M5" s="24"/>
      <c r="N5" s="24"/>
      <c r="O5" s="24"/>
      <c r="P5" s="24"/>
      <c r="Q5" s="23"/>
      <c r="R5" s="23"/>
      <c r="S5" s="99"/>
      <c r="T5" s="99"/>
      <c r="U5" s="99"/>
      <c r="V5" s="99"/>
      <c r="W5" s="99"/>
      <c r="X5" s="99"/>
      <c r="Y5" s="99"/>
      <c r="Z5" s="99"/>
      <c r="AA5" s="99"/>
      <c r="AB5" s="99"/>
      <c r="AC5" s="99"/>
      <c r="AD5" s="99"/>
      <c r="AE5" s="99"/>
      <c r="AF5" s="99"/>
      <c r="AG5" s="99"/>
      <c r="AH5" s="99"/>
      <c r="AI5" s="99"/>
      <c r="AJ5" s="99"/>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c r="BS5" s="99"/>
      <c r="BT5" s="23"/>
      <c r="BU5" s="23"/>
      <c r="BV5" s="24"/>
      <c r="BW5" s="24"/>
      <c r="BX5" s="24"/>
      <c r="BY5" s="24"/>
      <c r="BZ5" s="24"/>
      <c r="CA5" s="24"/>
      <c r="CB5" s="24"/>
      <c r="CC5" s="24"/>
      <c r="CD5" s="24"/>
      <c r="CE5" s="24"/>
      <c r="CF5" s="24"/>
      <c r="CH5" s="69" t="s">
        <v>14</v>
      </c>
      <c r="CI5" s="70"/>
      <c r="CJ5" s="67">
        <v>3</v>
      </c>
    </row>
    <row r="6" spans="1:92" ht="14.45" customHeight="1" x14ac:dyDescent="0.25">
      <c r="CH6" s="71"/>
      <c r="CI6" s="72"/>
      <c r="CJ6" s="68"/>
    </row>
    <row r="7" spans="1:92" ht="16.149999999999999" customHeight="1" x14ac:dyDescent="0.25">
      <c r="F7" s="19"/>
      <c r="G7" s="19"/>
      <c r="I7" s="19"/>
      <c r="J7" s="19"/>
      <c r="K7" s="98" t="s">
        <v>0</v>
      </c>
      <c r="L7" s="98"/>
      <c r="M7" s="98"/>
      <c r="N7" s="98"/>
      <c r="O7" s="98"/>
      <c r="P7" s="98"/>
      <c r="Q7" s="98"/>
      <c r="R7" s="98"/>
      <c r="S7" s="98"/>
      <c r="T7" s="98"/>
      <c r="U7" s="98"/>
      <c r="V7" s="98"/>
      <c r="W7" s="98"/>
      <c r="X7" s="98"/>
      <c r="Y7" s="98"/>
      <c r="Z7" s="98"/>
      <c r="AA7" s="42" t="s">
        <v>1</v>
      </c>
      <c r="AB7" s="42"/>
      <c r="AC7" s="42"/>
      <c r="AD7" s="42"/>
      <c r="AE7" s="42"/>
      <c r="AF7" s="42"/>
      <c r="AG7" s="42"/>
      <c r="AH7" s="42"/>
      <c r="AI7" s="42"/>
      <c r="AJ7" s="42"/>
      <c r="AK7" s="42"/>
      <c r="AL7" s="42"/>
      <c r="AM7" s="42"/>
      <c r="AN7" s="42"/>
      <c r="AO7" s="42"/>
      <c r="AP7" s="42"/>
      <c r="AQ7" s="98" t="s">
        <v>2</v>
      </c>
      <c r="AR7" s="98"/>
      <c r="AS7" s="98"/>
      <c r="AT7" s="98"/>
      <c r="AU7" s="98"/>
      <c r="AV7" s="98"/>
      <c r="AW7" s="98"/>
      <c r="AX7" s="98"/>
      <c r="AY7" s="98"/>
      <c r="AZ7" s="98"/>
      <c r="BA7" s="98"/>
      <c r="BB7" s="98"/>
      <c r="BC7" s="98"/>
      <c r="BD7" s="98"/>
      <c r="BE7" s="98"/>
      <c r="BF7" s="98"/>
      <c r="BG7" s="42" t="s">
        <v>3</v>
      </c>
      <c r="BH7" s="42"/>
      <c r="BI7" s="42"/>
      <c r="BJ7" s="42"/>
      <c r="BK7" s="42"/>
      <c r="BL7" s="42"/>
      <c r="BM7" s="42"/>
      <c r="BN7" s="42"/>
      <c r="BO7" s="42"/>
      <c r="BP7" s="42"/>
      <c r="BQ7" s="42"/>
      <c r="BR7" s="42"/>
      <c r="BS7" s="42"/>
      <c r="BT7" s="42"/>
      <c r="BU7" s="42"/>
      <c r="BV7" s="42"/>
      <c r="CH7" s="63" t="s">
        <v>87</v>
      </c>
      <c r="CI7" s="64"/>
      <c r="CJ7" s="67">
        <v>1</v>
      </c>
    </row>
    <row r="8" spans="1:92" ht="16.149999999999999" customHeight="1" x14ac:dyDescent="0.25">
      <c r="F8" s="19"/>
      <c r="G8" s="19"/>
      <c r="I8" s="19"/>
      <c r="J8" s="19"/>
      <c r="K8" s="98" t="s">
        <v>4</v>
      </c>
      <c r="L8" s="98"/>
      <c r="M8" s="98"/>
      <c r="N8" s="98"/>
      <c r="O8" s="98"/>
      <c r="P8" s="98"/>
      <c r="Q8" s="98"/>
      <c r="R8" s="98"/>
      <c r="S8" s="98"/>
      <c r="T8" s="98"/>
      <c r="U8" s="98"/>
      <c r="V8" s="98"/>
      <c r="W8" s="98"/>
      <c r="X8" s="98"/>
      <c r="Y8" s="98"/>
      <c r="Z8" s="98"/>
      <c r="AA8" s="42" t="s">
        <v>94</v>
      </c>
      <c r="AB8" s="42"/>
      <c r="AC8" s="42"/>
      <c r="AD8" s="42"/>
      <c r="AE8" s="42"/>
      <c r="AF8" s="42"/>
      <c r="AG8" s="42"/>
      <c r="AH8" s="42"/>
      <c r="AI8" s="42"/>
      <c r="AJ8" s="42"/>
      <c r="AK8" s="42"/>
      <c r="AL8" s="42"/>
      <c r="AM8" s="42"/>
      <c r="AN8" s="42"/>
      <c r="AO8" s="42"/>
      <c r="AP8" s="42"/>
      <c r="AQ8" s="98" t="s">
        <v>5</v>
      </c>
      <c r="AR8" s="98"/>
      <c r="AS8" s="98"/>
      <c r="AT8" s="98"/>
      <c r="AU8" s="98"/>
      <c r="AV8" s="98"/>
      <c r="AW8" s="98"/>
      <c r="AX8" s="98"/>
      <c r="AY8" s="98"/>
      <c r="AZ8" s="98"/>
      <c r="BA8" s="98"/>
      <c r="BB8" s="98"/>
      <c r="BC8" s="98"/>
      <c r="BD8" s="98"/>
      <c r="BE8" s="98"/>
      <c r="BF8" s="98"/>
      <c r="BG8" s="42" t="s">
        <v>93</v>
      </c>
      <c r="BH8" s="42"/>
      <c r="BI8" s="42"/>
      <c r="BJ8" s="42"/>
      <c r="BK8" s="42"/>
      <c r="BL8" s="42"/>
      <c r="BM8" s="42"/>
      <c r="BN8" s="42"/>
      <c r="BO8" s="42"/>
      <c r="BP8" s="42"/>
      <c r="BQ8" s="42"/>
      <c r="BR8" s="42"/>
      <c r="BS8" s="42"/>
      <c r="BT8" s="42"/>
      <c r="BU8" s="42"/>
      <c r="BV8" s="42"/>
      <c r="CH8" s="65"/>
      <c r="CI8" s="66"/>
      <c r="CJ8" s="68"/>
    </row>
    <row r="9" spans="1:92" ht="16.149999999999999" customHeight="1" x14ac:dyDescent="0.25">
      <c r="F9" s="19"/>
      <c r="G9" s="19"/>
      <c r="I9" s="19"/>
      <c r="J9" s="19"/>
      <c r="K9" s="98" t="s">
        <v>12</v>
      </c>
      <c r="L9" s="98"/>
      <c r="M9" s="98"/>
      <c r="N9" s="98"/>
      <c r="O9" s="98"/>
      <c r="P9" s="98"/>
      <c r="Q9" s="98"/>
      <c r="R9" s="98"/>
      <c r="S9" s="98"/>
      <c r="T9" s="98"/>
      <c r="U9" s="98"/>
      <c r="V9" s="98"/>
      <c r="W9" s="98"/>
      <c r="X9" s="98"/>
      <c r="Y9" s="98"/>
      <c r="Z9" s="98"/>
      <c r="AA9" s="42" t="s">
        <v>6</v>
      </c>
      <c r="AB9" s="42"/>
      <c r="AC9" s="42"/>
      <c r="AD9" s="42"/>
      <c r="AE9" s="42"/>
      <c r="AF9" s="42"/>
      <c r="AG9" s="42"/>
      <c r="AH9" s="42"/>
      <c r="AI9" s="42"/>
      <c r="AJ9" s="42"/>
      <c r="AK9" s="42"/>
      <c r="AL9" s="42"/>
      <c r="AM9" s="42"/>
      <c r="AN9" s="42"/>
      <c r="AO9" s="42"/>
      <c r="AP9" s="42"/>
      <c r="AQ9" s="98" t="s">
        <v>95</v>
      </c>
      <c r="AR9" s="98"/>
      <c r="AS9" s="98"/>
      <c r="AT9" s="98"/>
      <c r="AU9" s="98"/>
      <c r="AV9" s="98"/>
      <c r="AW9" s="98"/>
      <c r="AX9" s="98"/>
      <c r="AY9" s="98"/>
      <c r="AZ9" s="98"/>
      <c r="BA9" s="98"/>
      <c r="BB9" s="98"/>
      <c r="BC9" s="98"/>
      <c r="BD9" s="98"/>
      <c r="BE9" s="98"/>
      <c r="BF9" s="98"/>
      <c r="BG9" s="42" t="str">
        <f>IF('1° PERIODO'!D3="","",'1° PERIODO'!D3)</f>
        <v>4 AÑOS</v>
      </c>
      <c r="BH9" s="42"/>
      <c r="BI9" s="42"/>
      <c r="BJ9" s="42"/>
      <c r="BK9" s="42"/>
      <c r="BL9" s="42"/>
      <c r="BM9" s="42"/>
      <c r="BN9" s="42"/>
      <c r="BO9" s="42"/>
      <c r="BP9" s="42"/>
      <c r="BQ9" s="42"/>
      <c r="BR9" s="42"/>
      <c r="BS9" s="42"/>
      <c r="BT9" s="42"/>
      <c r="BU9" s="42"/>
      <c r="BV9" s="42"/>
    </row>
    <row r="10" spans="1:92" ht="16.149999999999999" customHeight="1" x14ac:dyDescent="0.25">
      <c r="F10" s="19"/>
      <c r="G10" s="19"/>
      <c r="I10" s="19"/>
      <c r="J10" s="19"/>
      <c r="K10" s="98" t="s">
        <v>7</v>
      </c>
      <c r="L10" s="98"/>
      <c r="M10" s="98"/>
      <c r="N10" s="98"/>
      <c r="O10" s="98"/>
      <c r="P10" s="98"/>
      <c r="Q10" s="98"/>
      <c r="R10" s="98"/>
      <c r="S10" s="98"/>
      <c r="T10" s="98"/>
      <c r="U10" s="98"/>
      <c r="V10" s="98"/>
      <c r="W10" s="98"/>
      <c r="X10" s="98"/>
      <c r="Y10" s="98"/>
      <c r="Z10" s="98"/>
      <c r="AA10" s="74">
        <f>IFERROR(IF(CJ5=1,IF(VLOOKUP(CJ7,'1° PERIODO'!A7:AT36,3)="","",VLOOKUP(CJ7,'1° PERIODO'!A7:AT36,3)),IF(CJ5=2,IF(VLOOKUP(CJ7,'2° PERIODO'!A7:BV36,3)="","",VLOOKUP(CJ7,'2° PERIODO'!A7:BV36,3)),IF(CJ5=3,IF(VLOOKUP(CJ7,'3° PERIODO'!A7:BV36,3)="","",VLOOKUP(CJ7,'3° PERIODO'!A7:BV36,3)),IF(CJ5=4,IF(VLOOKUP(CJ7,'4° PERIODO'!A7:BV36,3)="","",VLOOKUP(CJ7,'4° PERIODO'!A7:BV36,3)),"")))),"")</f>
        <v>90373031</v>
      </c>
      <c r="AB10" s="75"/>
      <c r="AC10" s="75"/>
      <c r="AD10" s="75"/>
      <c r="AE10" s="75"/>
      <c r="AF10" s="75"/>
      <c r="AG10" s="75"/>
      <c r="AH10" s="75"/>
      <c r="AI10" s="75"/>
      <c r="AJ10" s="75"/>
      <c r="AK10" s="75"/>
      <c r="AL10" s="75"/>
      <c r="AM10" s="75"/>
      <c r="AN10" s="75"/>
      <c r="AO10" s="75"/>
      <c r="AP10" s="76"/>
      <c r="AQ10" s="98" t="s">
        <v>8</v>
      </c>
      <c r="AR10" s="98"/>
      <c r="AS10" s="98"/>
      <c r="AT10" s="98"/>
      <c r="AU10" s="98"/>
      <c r="AV10" s="98"/>
      <c r="AW10" s="98"/>
      <c r="AX10" s="98"/>
      <c r="AY10" s="98"/>
      <c r="AZ10" s="98"/>
      <c r="BA10" s="98"/>
      <c r="BB10" s="98"/>
      <c r="BC10" s="98"/>
      <c r="BD10" s="98"/>
      <c r="BE10" s="98"/>
      <c r="BF10" s="98"/>
      <c r="BG10" s="42" t="s">
        <v>9</v>
      </c>
      <c r="BH10" s="42"/>
      <c r="BI10" s="42"/>
      <c r="BJ10" s="42"/>
      <c r="BK10" s="42"/>
      <c r="BL10" s="42"/>
      <c r="BM10" s="42"/>
      <c r="BN10" s="42"/>
      <c r="BO10" s="42"/>
      <c r="BP10" s="42"/>
      <c r="BQ10" s="42"/>
      <c r="BR10" s="42"/>
      <c r="BS10" s="42"/>
      <c r="BT10" s="42"/>
      <c r="BU10" s="42"/>
      <c r="BV10" s="42"/>
    </row>
    <row r="11" spans="1:92" ht="25.15" customHeight="1" x14ac:dyDescent="0.25">
      <c r="F11" s="19"/>
      <c r="G11" s="19"/>
      <c r="I11" s="19"/>
      <c r="J11" s="19"/>
      <c r="K11" s="98" t="s">
        <v>10</v>
      </c>
      <c r="L11" s="98"/>
      <c r="M11" s="98"/>
      <c r="N11" s="98"/>
      <c r="O11" s="98"/>
      <c r="P11" s="98"/>
      <c r="Q11" s="98"/>
      <c r="R11" s="98"/>
      <c r="S11" s="98"/>
      <c r="T11" s="98"/>
      <c r="U11" s="98"/>
      <c r="V11" s="98"/>
      <c r="W11" s="98"/>
      <c r="X11" s="98"/>
      <c r="Y11" s="98"/>
      <c r="Z11" s="98"/>
      <c r="AA11" s="42" t="str">
        <f>IFERROR(IF(CJ5=1,IF(VLOOKUP(CJ7,'1° PERIODO'!A7:AT36,2)="","",VLOOKUP(CJ7,'1° PERIODO'!A7:AT36,2)),IF(CJ5=2,IF(VLOOKUP(CJ7,'2° PERIODO'!A7:BV36,2)="","",VLOOKUP(CJ7,'2° PERIODO'!A7:BV36,2)),IF(CJ5=3,IF(VLOOKUP(CJ7,'3° PERIODO'!A7:BV36,2)="","",VLOOKUP(CJ7,'3° PERIODO'!A7:BV36,2)),IF(CJ5=4,IF(VLOOKUP(CJ7,'4° PERIODO'!A7:BV36,2)="","",VLOOKUP(CJ7,'4° PERIODO'!A7:BV36,2)),"")))),"")</f>
        <v>ALAGON HUAMAN, LEYDI SAYURI</v>
      </c>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row>
    <row r="12" spans="1:92" ht="25.15" customHeight="1" x14ac:dyDescent="0.25">
      <c r="F12" s="19"/>
      <c r="G12" s="19"/>
      <c r="I12" s="19"/>
      <c r="J12" s="19"/>
      <c r="K12" s="98" t="s">
        <v>11</v>
      </c>
      <c r="L12" s="98"/>
      <c r="M12" s="98"/>
      <c r="N12" s="98"/>
      <c r="O12" s="98"/>
      <c r="P12" s="98"/>
      <c r="Q12" s="98"/>
      <c r="R12" s="98"/>
      <c r="S12" s="98"/>
      <c r="T12" s="98"/>
      <c r="U12" s="98"/>
      <c r="V12" s="98"/>
      <c r="W12" s="98"/>
      <c r="X12" s="98"/>
      <c r="Y12" s="98"/>
      <c r="Z12" s="98"/>
      <c r="AA12" s="42" t="str">
        <f>IF('1° PERIODO'!D2="","",'1° PERIODO'!D2)</f>
        <v>YLLACONZA MONDRAGÓN, KEYLA</v>
      </c>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row>
    <row r="14" spans="1:92" x14ac:dyDescent="0.25">
      <c r="A14" s="41" t="s">
        <v>25</v>
      </c>
      <c r="B14" s="41"/>
      <c r="C14" s="41"/>
      <c r="D14" s="41"/>
      <c r="E14" s="41"/>
      <c r="F14" s="41"/>
      <c r="G14" s="41"/>
      <c r="H14" s="41"/>
      <c r="I14" s="41"/>
      <c r="J14" s="41"/>
      <c r="K14" s="41" t="s">
        <v>13</v>
      </c>
      <c r="L14" s="41"/>
      <c r="M14" s="41"/>
      <c r="N14" s="41"/>
      <c r="O14" s="41"/>
      <c r="P14" s="41"/>
      <c r="Q14" s="41"/>
      <c r="R14" s="41"/>
      <c r="S14" s="41"/>
      <c r="T14" s="41"/>
      <c r="U14" s="41"/>
      <c r="V14" s="41"/>
      <c r="W14" s="41"/>
      <c r="X14" s="41"/>
      <c r="Y14" s="41"/>
      <c r="Z14" s="41"/>
      <c r="AA14" s="41"/>
      <c r="AB14" s="41"/>
      <c r="AC14" s="41" t="s">
        <v>14</v>
      </c>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4" t="s">
        <v>15</v>
      </c>
      <c r="CD14" s="44"/>
      <c r="CE14" s="44"/>
      <c r="CF14" s="44"/>
    </row>
    <row r="15" spans="1:92" ht="25.15" customHeight="1"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t="s">
        <v>16</v>
      </c>
      <c r="AD15" s="41"/>
      <c r="AE15" s="41"/>
      <c r="AF15" s="41" t="s">
        <v>19</v>
      </c>
      <c r="AG15" s="41"/>
      <c r="AH15" s="41"/>
      <c r="AI15" s="41"/>
      <c r="AJ15" s="41"/>
      <c r="AK15" s="41"/>
      <c r="AL15" s="41"/>
      <c r="AM15" s="41"/>
      <c r="AN15" s="41"/>
      <c r="AO15" s="41"/>
      <c r="AP15" s="41" t="s">
        <v>17</v>
      </c>
      <c r="AQ15" s="41"/>
      <c r="AR15" s="41"/>
      <c r="AS15" s="41" t="s">
        <v>19</v>
      </c>
      <c r="AT15" s="41"/>
      <c r="AU15" s="41"/>
      <c r="AV15" s="41"/>
      <c r="AW15" s="41"/>
      <c r="AX15" s="41"/>
      <c r="AY15" s="41"/>
      <c r="AZ15" s="41"/>
      <c r="BA15" s="41"/>
      <c r="BB15" s="41"/>
      <c r="BC15" s="41" t="s">
        <v>18</v>
      </c>
      <c r="BD15" s="41"/>
      <c r="BE15" s="41"/>
      <c r="BF15" s="41" t="s">
        <v>19</v>
      </c>
      <c r="BG15" s="41"/>
      <c r="BH15" s="41"/>
      <c r="BI15" s="41"/>
      <c r="BJ15" s="41"/>
      <c r="BK15" s="41"/>
      <c r="BL15" s="41"/>
      <c r="BM15" s="41"/>
      <c r="BN15" s="41"/>
      <c r="BO15" s="41"/>
      <c r="BP15" s="41" t="s">
        <v>20</v>
      </c>
      <c r="BQ15" s="41"/>
      <c r="BR15" s="41"/>
      <c r="BS15" s="41" t="s">
        <v>19</v>
      </c>
      <c r="BT15" s="41"/>
      <c r="BU15" s="41"/>
      <c r="BV15" s="41"/>
      <c r="BW15" s="41"/>
      <c r="BX15" s="41"/>
      <c r="BY15" s="41"/>
      <c r="BZ15" s="41"/>
      <c r="CA15" s="41"/>
      <c r="CB15" s="41"/>
      <c r="CC15" s="44"/>
      <c r="CD15" s="44"/>
      <c r="CE15" s="44"/>
      <c r="CF15" s="44"/>
    </row>
    <row r="16" spans="1:92" ht="25.15" customHeight="1" x14ac:dyDescent="0.25">
      <c r="A16" s="80" t="s">
        <v>21</v>
      </c>
      <c r="B16" s="81"/>
      <c r="C16" s="81"/>
      <c r="D16" s="81"/>
      <c r="E16" s="81"/>
      <c r="F16" s="81"/>
      <c r="G16" s="81"/>
      <c r="H16" s="81"/>
      <c r="I16" s="81"/>
      <c r="J16" s="82"/>
      <c r="K16" s="78" t="s">
        <v>57</v>
      </c>
      <c r="L16" s="78"/>
      <c r="M16" s="78"/>
      <c r="N16" s="78"/>
      <c r="O16" s="78"/>
      <c r="P16" s="78"/>
      <c r="Q16" s="78"/>
      <c r="R16" s="78"/>
      <c r="S16" s="78"/>
      <c r="T16" s="78"/>
      <c r="U16" s="78"/>
      <c r="V16" s="78"/>
      <c r="W16" s="78"/>
      <c r="X16" s="78"/>
      <c r="Y16" s="78"/>
      <c r="Z16" s="78"/>
      <c r="AA16" s="78"/>
      <c r="AB16" s="78"/>
      <c r="AC16" s="42" t="str">
        <f>IFERROR(IF(VLOOKUP($CJ$7,'1° PERIODO'!$A$7:$AT$36,CG16)="","-",VLOOKUP($CJ$7,'1° PERIODO'!$A$7:$AT$36,CG16)),"")</f>
        <v>A</v>
      </c>
      <c r="AD16" s="42"/>
      <c r="AE16" s="42"/>
      <c r="AF16" s="42" t="str">
        <f>IFERROR(IF(VLOOKUP($CJ$7,'1° PERIODO'!$A$7:$AT$36,CG16+1)="","",VLOOKUP($CJ$7,'1° PERIODO'!$A$7:$AT$36,CG16+1)),"")</f>
        <v/>
      </c>
      <c r="AG16" s="42"/>
      <c r="AH16" s="42"/>
      <c r="AI16" s="42"/>
      <c r="AJ16" s="42"/>
      <c r="AK16" s="42"/>
      <c r="AL16" s="42"/>
      <c r="AM16" s="42"/>
      <c r="AN16" s="42"/>
      <c r="AO16" s="42"/>
      <c r="AP16" s="42" t="str">
        <f>IFERROR(IF(VLOOKUP($CJ$7,'2° PERIODO'!$A$7:$BV$36,CG16)="","-",VLOOKUP($CJ$7,'2° PERIODO'!$A$7:$BV$36,CG16)),"")</f>
        <v>A</v>
      </c>
      <c r="AQ16" s="42"/>
      <c r="AR16" s="42"/>
      <c r="AS16" s="42" t="str">
        <f>IFERROR(IF(VLOOKUP($CJ$7,'2° PERIODO'!$A$7:$BV$36,CG16+1)="","",VLOOKUP($CJ$7,'2° PERIODO'!$A$7:$BV$36,CG16+1)),"")</f>
        <v/>
      </c>
      <c r="AT16" s="42"/>
      <c r="AU16" s="42"/>
      <c r="AV16" s="42"/>
      <c r="AW16" s="42"/>
      <c r="AX16" s="42"/>
      <c r="AY16" s="42"/>
      <c r="AZ16" s="42"/>
      <c r="BA16" s="42"/>
      <c r="BB16" s="42"/>
      <c r="BC16" s="42" t="str">
        <f>IFERROR(IF(VLOOKUP($CJ$7,'3° PERIODO'!$A$7:$BV$36,CG16)="","-",VLOOKUP($CJ$7,'3° PERIODO'!$A$7:$BV$36,CG16)),"")</f>
        <v>A</v>
      </c>
      <c r="BD16" s="42"/>
      <c r="BE16" s="42"/>
      <c r="BF16" s="42" t="str">
        <f>IFERROR(IF(VLOOKUP($CJ$7,'3° PERIODO'!$A$7:$BV$36,CG16+1)="","",VLOOKUP($CJ$7,'3° PERIODO'!$A$7:$BV$36,CG16+1)),"")</f>
        <v/>
      </c>
      <c r="BG16" s="42"/>
      <c r="BH16" s="42"/>
      <c r="BI16" s="42"/>
      <c r="BJ16" s="42"/>
      <c r="BK16" s="42"/>
      <c r="BL16" s="42"/>
      <c r="BM16" s="42"/>
      <c r="BN16" s="42"/>
      <c r="BO16" s="42"/>
      <c r="BP16" s="42" t="str">
        <f>IFERROR(IF(VLOOKUP($CJ$7,'4° PERIODO'!$A$7:$BV$36,CG16)="","-",VLOOKUP($CJ$7,'4° PERIODO'!$A$7:$BV$36,CG16)),"")</f>
        <v>A</v>
      </c>
      <c r="BQ16" s="42"/>
      <c r="BR16" s="42"/>
      <c r="BS16" s="42" t="str">
        <f>IFERROR(IF(VLOOKUP($CJ$7,'2° PERIODO'!$A$7:$BV$36,CG16+1)="","",VLOOKUP($CJ$7,'2° PERIODO'!$A$7:$BV$36,CG16+1)),"")</f>
        <v/>
      </c>
      <c r="BT16" s="42"/>
      <c r="BU16" s="42"/>
      <c r="BV16" s="42"/>
      <c r="BW16" s="42"/>
      <c r="BX16" s="42"/>
      <c r="BY16" s="42"/>
      <c r="BZ16" s="42"/>
      <c r="CA16" s="42"/>
      <c r="CB16" s="42"/>
      <c r="CC16" s="40" t="str" cm="1">
        <f t="array" ref="CC16">IFERROR(_xlfn.XLOOKUP(ROUND(AVERAGE(_xlfn.XLOOKUP(CK16:CN16,{"AD";"A";"B";"C"},{1;2;3;4},"")),0),{1;2;3;4},{"AD";"A";"B";"C"}),"-")</f>
        <v>A</v>
      </c>
      <c r="CD16" s="40"/>
      <c r="CE16" s="40"/>
      <c r="CF16" s="40"/>
      <c r="CG16" s="27">
        <v>10</v>
      </c>
      <c r="CK16" s="22" t="str">
        <f>AC16</f>
        <v>A</v>
      </c>
      <c r="CL16" s="22" t="str">
        <f>AP16</f>
        <v>A</v>
      </c>
      <c r="CM16" s="22" t="str">
        <f>BC16</f>
        <v>A</v>
      </c>
      <c r="CN16" s="22" t="str">
        <f>BP16</f>
        <v>A</v>
      </c>
    </row>
    <row r="17" spans="1:92" ht="25.15" customHeight="1" x14ac:dyDescent="0.25">
      <c r="A17" s="95"/>
      <c r="B17" s="96"/>
      <c r="C17" s="96"/>
      <c r="D17" s="96"/>
      <c r="E17" s="96"/>
      <c r="F17" s="96"/>
      <c r="G17" s="96"/>
      <c r="H17" s="96"/>
      <c r="I17" s="96"/>
      <c r="J17" s="97"/>
      <c r="K17" s="78" t="s">
        <v>22</v>
      </c>
      <c r="L17" s="78"/>
      <c r="M17" s="78"/>
      <c r="N17" s="78"/>
      <c r="O17" s="78"/>
      <c r="P17" s="78"/>
      <c r="Q17" s="78"/>
      <c r="R17" s="78"/>
      <c r="S17" s="78"/>
      <c r="T17" s="78"/>
      <c r="U17" s="78"/>
      <c r="V17" s="78"/>
      <c r="W17" s="78"/>
      <c r="X17" s="78"/>
      <c r="Y17" s="78"/>
      <c r="Z17" s="78"/>
      <c r="AA17" s="78"/>
      <c r="AB17" s="78"/>
      <c r="AC17" s="42" t="str">
        <f>IFERROR(IF(VLOOKUP($CJ$7,'1° PERIODO'!$A$7:$AT$36,CG17)="","-",VLOOKUP($CJ$7,'1° PERIODO'!$A$7:$AT$36,CG17)),"")</f>
        <v>B</v>
      </c>
      <c r="AD17" s="42"/>
      <c r="AE17" s="42"/>
      <c r="AF17" s="42" t="str">
        <f>IFERROR(IF(VLOOKUP($CJ$7,'1° PERIODO'!$A$7:$AT$36,CG17+1)="","",VLOOKUP($CJ$7,'1° PERIODO'!$A$7:$AT$36,CG17+1)),"")</f>
        <v/>
      </c>
      <c r="AG17" s="42"/>
      <c r="AH17" s="42"/>
      <c r="AI17" s="42"/>
      <c r="AJ17" s="42"/>
      <c r="AK17" s="42"/>
      <c r="AL17" s="42"/>
      <c r="AM17" s="42"/>
      <c r="AN17" s="42"/>
      <c r="AO17" s="42"/>
      <c r="AP17" s="42" t="str">
        <f>IFERROR(IF(VLOOKUP($CJ$7,'2° PERIODO'!$A$7:$BV$36,CG17)="","-",VLOOKUP($CJ$7,'2° PERIODO'!$A$7:$BV$36,CG17)),"")</f>
        <v>A</v>
      </c>
      <c r="AQ17" s="42"/>
      <c r="AR17" s="42"/>
      <c r="AS17" s="42" t="str">
        <f>IFERROR(IF(VLOOKUP($CJ$7,'2° PERIODO'!$A$7:$BV$36,CG17+1)="","",VLOOKUP($CJ$7,'2° PERIODO'!$A$7:$BV$36,CG17+1)),"")</f>
        <v/>
      </c>
      <c r="AT17" s="42"/>
      <c r="AU17" s="42"/>
      <c r="AV17" s="42"/>
      <c r="AW17" s="42"/>
      <c r="AX17" s="42"/>
      <c r="AY17" s="42"/>
      <c r="AZ17" s="42"/>
      <c r="BA17" s="42"/>
      <c r="BB17" s="42"/>
      <c r="BC17" s="42" t="str">
        <f>IFERROR(IF(VLOOKUP($CJ$7,'3° PERIODO'!$A$7:$BV$36,CG17)="","-",VLOOKUP($CJ$7,'3° PERIODO'!$A$7:$BV$36,CG17)),"")</f>
        <v>A</v>
      </c>
      <c r="BD17" s="42"/>
      <c r="BE17" s="42"/>
      <c r="BF17" s="42" t="str">
        <f>IFERROR(IF(VLOOKUP($CJ$7,'3° PERIODO'!$A$7:$BV$36,CG17+1)="","",VLOOKUP($CJ$7,'3° PERIODO'!$A$7:$BV$36,CG17+1)),"")</f>
        <v/>
      </c>
      <c r="BG17" s="42"/>
      <c r="BH17" s="42"/>
      <c r="BI17" s="42"/>
      <c r="BJ17" s="42"/>
      <c r="BK17" s="42"/>
      <c r="BL17" s="42"/>
      <c r="BM17" s="42"/>
      <c r="BN17" s="42"/>
      <c r="BO17" s="42"/>
      <c r="BP17" s="42" t="str">
        <f>IFERROR(IF(VLOOKUP($CJ$7,'4° PERIODO'!$A$7:$BV$36,CG17)="","-",VLOOKUP($CJ$7,'4° PERIODO'!$A$7:$BV$36,CG17)),"")</f>
        <v>A</v>
      </c>
      <c r="BQ17" s="42"/>
      <c r="BR17" s="42"/>
      <c r="BS17" s="42" t="str">
        <f>IFERROR(IF(VLOOKUP($CJ$7,'2° PERIODO'!$A$7:$BV$36,CG17+1)="","",VLOOKUP($CJ$7,'2° PERIODO'!$A$7:$BV$36,CG17+1)),"")</f>
        <v/>
      </c>
      <c r="BT17" s="42"/>
      <c r="BU17" s="42"/>
      <c r="BV17" s="42"/>
      <c r="BW17" s="42"/>
      <c r="BX17" s="42"/>
      <c r="BY17" s="42"/>
      <c r="BZ17" s="42"/>
      <c r="CA17" s="42"/>
      <c r="CB17" s="42"/>
      <c r="CC17" s="40" t="str" cm="1">
        <f t="array" ref="CC17">IFERROR(_xlfn.XLOOKUP(ROUND(AVERAGE(_xlfn.XLOOKUP(CK17:CN17,{"AD";"A";"B";"C"},{1;2;3;4},"")),0),{1;2;3;4},{"AD";"A";"B";"C"}),"-")</f>
        <v>A</v>
      </c>
      <c r="CD17" s="40"/>
      <c r="CE17" s="40"/>
      <c r="CF17" s="40"/>
      <c r="CG17" s="27">
        <v>12</v>
      </c>
      <c r="CK17" s="22" t="str">
        <f>AC17</f>
        <v>B</v>
      </c>
      <c r="CL17" s="22" t="str">
        <f>AP17</f>
        <v>A</v>
      </c>
      <c r="CM17" s="22" t="str">
        <f>BC17</f>
        <v>A</v>
      </c>
      <c r="CN17" s="22" t="str">
        <f>BP17</f>
        <v>A</v>
      </c>
    </row>
    <row r="18" spans="1:92" ht="25.15" customHeight="1" x14ac:dyDescent="0.25">
      <c r="A18" s="83"/>
      <c r="B18" s="84"/>
      <c r="C18" s="84"/>
      <c r="D18" s="84"/>
      <c r="E18" s="84"/>
      <c r="F18" s="84"/>
      <c r="G18" s="84"/>
      <c r="H18" s="84"/>
      <c r="I18" s="84"/>
      <c r="J18" s="85"/>
      <c r="K18" s="89" t="s">
        <v>56</v>
      </c>
      <c r="L18" s="90"/>
      <c r="M18" s="90"/>
      <c r="N18" s="90"/>
      <c r="O18" s="90"/>
      <c r="P18" s="90"/>
      <c r="Q18" s="90"/>
      <c r="R18" s="90"/>
      <c r="S18" s="90"/>
      <c r="T18" s="90"/>
      <c r="U18" s="90"/>
      <c r="V18" s="90"/>
      <c r="W18" s="90"/>
      <c r="X18" s="90"/>
      <c r="Y18" s="90"/>
      <c r="Z18" s="90"/>
      <c r="AA18" s="90"/>
      <c r="AB18" s="91"/>
      <c r="AC18" s="40" t="str">
        <f>IFERROR(IF(VLOOKUP($CJ$7,'1° PERIODO'!$A$7:$AT$36,CG18)="","-",VLOOKUP($CJ$7,'1° PERIODO'!$A$7:$AT$36,CG18)),"")</f>
        <v>B</v>
      </c>
      <c r="AD18" s="40"/>
      <c r="AE18" s="40"/>
      <c r="AF18" s="40"/>
      <c r="AG18" s="40"/>
      <c r="AH18" s="40"/>
      <c r="AI18" s="40"/>
      <c r="AJ18" s="40"/>
      <c r="AK18" s="40"/>
      <c r="AL18" s="40"/>
      <c r="AM18" s="40"/>
      <c r="AN18" s="40"/>
      <c r="AO18" s="40"/>
      <c r="AP18" s="40" t="str">
        <f>IFERROR(IF(VLOOKUP($CJ$7,'2° PERIODO'!$A$7:$BV$36,CG18)="","-",VLOOKUP($CJ$7,'2° PERIODO'!$A$7:$BV$36,CG18)),"")</f>
        <v>A</v>
      </c>
      <c r="AQ18" s="40"/>
      <c r="AR18" s="40"/>
      <c r="AS18" s="40"/>
      <c r="AT18" s="40"/>
      <c r="AU18" s="40"/>
      <c r="AV18" s="40"/>
      <c r="AW18" s="40"/>
      <c r="AX18" s="40"/>
      <c r="AY18" s="40"/>
      <c r="AZ18" s="40"/>
      <c r="BA18" s="40"/>
      <c r="BB18" s="40"/>
      <c r="BC18" s="40" t="str">
        <f>IFERROR(IF(VLOOKUP($CJ$7,'3° PERIODO'!$A$7:$BV$36,CG18)="","-",VLOOKUP($CJ$7,'3° PERIODO'!$A$7:$BV$36,CG18)),"")</f>
        <v>A</v>
      </c>
      <c r="BD18" s="40"/>
      <c r="BE18" s="40"/>
      <c r="BF18" s="40"/>
      <c r="BG18" s="40"/>
      <c r="BH18" s="40"/>
      <c r="BI18" s="40"/>
      <c r="BJ18" s="40"/>
      <c r="BK18" s="40"/>
      <c r="BL18" s="40"/>
      <c r="BM18" s="40"/>
      <c r="BN18" s="40"/>
      <c r="BO18" s="40"/>
      <c r="BP18" s="40" t="str">
        <f>IFERROR(IF(VLOOKUP($CJ$7,'4° PERIODO'!$A$7:$BV$36,CG18)="","-",VLOOKUP($CJ$7,'4° PERIODO'!$A$7:$BV$36,CG18)),"")</f>
        <v>A</v>
      </c>
      <c r="BQ18" s="40"/>
      <c r="BR18" s="40"/>
      <c r="BS18" s="40"/>
      <c r="BT18" s="40"/>
      <c r="BU18" s="40"/>
      <c r="BV18" s="40"/>
      <c r="BW18" s="40"/>
      <c r="BX18" s="40"/>
      <c r="BY18" s="40"/>
      <c r="BZ18" s="40"/>
      <c r="CA18" s="40"/>
      <c r="CB18" s="40"/>
      <c r="CC18" s="40" t="str" cm="1">
        <f t="array" ref="CC18">IFERROR(_xlfn.XLOOKUP(ROUND(AVERAGE(_xlfn.XLOOKUP(CK18:CN18,{"AD";"A";"B";"C"},{1;2;3;4},"")),0),{1;2;3;4},{"AD";"A";"B";"C"}),"-")</f>
        <v>A</v>
      </c>
      <c r="CD18" s="40"/>
      <c r="CE18" s="40"/>
      <c r="CF18" s="40"/>
      <c r="CG18" s="27">
        <v>14</v>
      </c>
      <c r="CK18" s="22" t="str">
        <f t="shared" ref="CK18:CK33" si="0">AC18</f>
        <v>B</v>
      </c>
      <c r="CL18" s="22" t="str">
        <f t="shared" ref="CL18:CL33" si="1">AP18</f>
        <v>A</v>
      </c>
      <c r="CM18" s="22" t="str">
        <f t="shared" ref="CM18:CM33" si="2">BC18</f>
        <v>A</v>
      </c>
      <c r="CN18" s="22" t="str">
        <f t="shared" ref="CN18:CN33" si="3">BP18</f>
        <v>A</v>
      </c>
    </row>
    <row r="19" spans="1:92" ht="25.15" customHeight="1" x14ac:dyDescent="0.25">
      <c r="A19" s="80" t="s">
        <v>91</v>
      </c>
      <c r="B19" s="81"/>
      <c r="C19" s="81"/>
      <c r="D19" s="81"/>
      <c r="E19" s="81"/>
      <c r="F19" s="81"/>
      <c r="G19" s="81"/>
      <c r="H19" s="81"/>
      <c r="I19" s="81"/>
      <c r="J19" s="82"/>
      <c r="K19" s="78" t="s">
        <v>23</v>
      </c>
      <c r="L19" s="78"/>
      <c r="M19" s="78"/>
      <c r="N19" s="78"/>
      <c r="O19" s="78"/>
      <c r="P19" s="78"/>
      <c r="Q19" s="78"/>
      <c r="R19" s="78"/>
      <c r="S19" s="78"/>
      <c r="T19" s="78"/>
      <c r="U19" s="78"/>
      <c r="V19" s="78"/>
      <c r="W19" s="78"/>
      <c r="X19" s="78"/>
      <c r="Y19" s="78"/>
      <c r="Z19" s="78"/>
      <c r="AA19" s="78"/>
      <c r="AB19" s="78"/>
      <c r="AC19" s="42" t="str">
        <f>IFERROR(IF(VLOOKUP($CJ$7,'1° PERIODO'!$A$7:$AT$36,CG19)="","-",VLOOKUP($CJ$7,'1° PERIODO'!$A$7:$AT$36,CG19)),"")</f>
        <v>B</v>
      </c>
      <c r="AD19" s="42"/>
      <c r="AE19" s="42"/>
      <c r="AF19" s="42" t="str">
        <f>IFERROR(IF(VLOOKUP($CJ$7,'1° PERIODO'!$A$7:$AT$36,CG19+1)="","",VLOOKUP($CJ$7,'1° PERIODO'!$A$7:$AT$36,CG19+1)),"")</f>
        <v/>
      </c>
      <c r="AG19" s="42"/>
      <c r="AH19" s="42"/>
      <c r="AI19" s="42"/>
      <c r="AJ19" s="42"/>
      <c r="AK19" s="42"/>
      <c r="AL19" s="42"/>
      <c r="AM19" s="42"/>
      <c r="AN19" s="42"/>
      <c r="AO19" s="42"/>
      <c r="AP19" s="42" t="str">
        <f>IFERROR(IF(VLOOKUP($CJ$7,'2° PERIODO'!$A$7:$BV$36,CG19)="","-",VLOOKUP($CJ$7,'2° PERIODO'!$A$7:$BV$36,CG19)),"")</f>
        <v>B</v>
      </c>
      <c r="AQ19" s="42"/>
      <c r="AR19" s="42"/>
      <c r="AS19" s="42" t="str">
        <f>IFERROR(IF(VLOOKUP($CJ$7,'2° PERIODO'!$A$7:$BV$36,CG19+1)="","",VLOOKUP($CJ$7,'2° PERIODO'!$A$7:$BV$36,CG19+1)),"")</f>
        <v/>
      </c>
      <c r="AT19" s="42"/>
      <c r="AU19" s="42"/>
      <c r="AV19" s="42"/>
      <c r="AW19" s="42"/>
      <c r="AX19" s="42"/>
      <c r="AY19" s="42"/>
      <c r="AZ19" s="42"/>
      <c r="BA19" s="42"/>
      <c r="BB19" s="42"/>
      <c r="BC19" s="42" t="str">
        <f>IFERROR(IF(VLOOKUP($CJ$7,'3° PERIODO'!$A$7:$BV$36,CG19)="","-",VLOOKUP($CJ$7,'3° PERIODO'!$A$7:$BV$36,CG19)),"")</f>
        <v>A</v>
      </c>
      <c r="BD19" s="42"/>
      <c r="BE19" s="42"/>
      <c r="BF19" s="42" t="str">
        <f>IFERROR(IF(VLOOKUP($CJ$7,'3° PERIODO'!$A$7:$BV$36,CG19+1)="","",VLOOKUP($CJ$7,'3° PERIODO'!$A$7:$BV$36,CG19+1)),"")</f>
        <v/>
      </c>
      <c r="BG19" s="42"/>
      <c r="BH19" s="42"/>
      <c r="BI19" s="42"/>
      <c r="BJ19" s="42"/>
      <c r="BK19" s="42"/>
      <c r="BL19" s="42"/>
      <c r="BM19" s="42"/>
      <c r="BN19" s="42"/>
      <c r="BO19" s="42"/>
      <c r="BP19" s="42" t="str">
        <f>IFERROR(IF(VLOOKUP($CJ$7,'4° PERIODO'!$A$7:$BV$36,CG19)="","-",VLOOKUP($CJ$7,'4° PERIODO'!$A$7:$BV$36,CG19)),"")</f>
        <v>A</v>
      </c>
      <c r="BQ19" s="42"/>
      <c r="BR19" s="42"/>
      <c r="BS19" s="42" t="str">
        <f>IFERROR(IF(VLOOKUP($CJ$7,'2° PERIODO'!$A$7:$BV$36,CG19+1)="","",VLOOKUP($CJ$7,'2° PERIODO'!$A$7:$BV$36,CG19+1)),"")</f>
        <v/>
      </c>
      <c r="BT19" s="42"/>
      <c r="BU19" s="42"/>
      <c r="BV19" s="42"/>
      <c r="BW19" s="42"/>
      <c r="BX19" s="42"/>
      <c r="BY19" s="42"/>
      <c r="BZ19" s="42"/>
      <c r="CA19" s="42"/>
      <c r="CB19" s="42"/>
      <c r="CC19" s="40" t="str" cm="1">
        <f t="array" ref="CC19">IFERROR(_xlfn.XLOOKUP(ROUND(AVERAGE(_xlfn.XLOOKUP(CK19:CN19,{"AD";"A";"B";"C"},{1;2;3;4},"")),0),{1;2;3;4},{"AD";"A";"B";"C"}),"-")</f>
        <v>B</v>
      </c>
      <c r="CD19" s="40"/>
      <c r="CE19" s="40"/>
      <c r="CF19" s="40"/>
      <c r="CG19" s="27">
        <v>15</v>
      </c>
      <c r="CK19" s="22" t="str">
        <f t="shared" si="0"/>
        <v>B</v>
      </c>
      <c r="CL19" s="22" t="str">
        <f t="shared" si="1"/>
        <v>B</v>
      </c>
      <c r="CM19" s="22" t="str">
        <f t="shared" si="2"/>
        <v>A</v>
      </c>
      <c r="CN19" s="22" t="str">
        <f t="shared" si="3"/>
        <v>A</v>
      </c>
    </row>
    <row r="20" spans="1:92" ht="25.15" customHeight="1" x14ac:dyDescent="0.25">
      <c r="A20" s="83"/>
      <c r="B20" s="84"/>
      <c r="C20" s="84"/>
      <c r="D20" s="84"/>
      <c r="E20" s="84"/>
      <c r="F20" s="84"/>
      <c r="G20" s="84"/>
      <c r="H20" s="84"/>
      <c r="I20" s="84"/>
      <c r="J20" s="85"/>
      <c r="K20" s="89" t="s">
        <v>56</v>
      </c>
      <c r="L20" s="90"/>
      <c r="M20" s="90"/>
      <c r="N20" s="90"/>
      <c r="O20" s="90"/>
      <c r="P20" s="90"/>
      <c r="Q20" s="90"/>
      <c r="R20" s="90"/>
      <c r="S20" s="90"/>
      <c r="T20" s="90"/>
      <c r="U20" s="90"/>
      <c r="V20" s="90"/>
      <c r="W20" s="90"/>
      <c r="X20" s="90"/>
      <c r="Y20" s="90"/>
      <c r="Z20" s="90"/>
      <c r="AA20" s="90"/>
      <c r="AB20" s="91"/>
      <c r="AC20" s="40" t="str">
        <f>IFERROR(IF(VLOOKUP($CJ$7,'1° PERIODO'!$A$7:$AT$36,CG20)="","-",VLOOKUP($CJ$7,'1° PERIODO'!$A$7:$AT$36,CG20)),"")</f>
        <v>B</v>
      </c>
      <c r="AD20" s="40"/>
      <c r="AE20" s="40"/>
      <c r="AF20" s="40"/>
      <c r="AG20" s="40"/>
      <c r="AH20" s="40"/>
      <c r="AI20" s="40"/>
      <c r="AJ20" s="40"/>
      <c r="AK20" s="40"/>
      <c r="AL20" s="40"/>
      <c r="AM20" s="40"/>
      <c r="AN20" s="40"/>
      <c r="AO20" s="40"/>
      <c r="AP20" s="40" t="str">
        <f>IFERROR(IF(VLOOKUP($CJ$7,'2° PERIODO'!$A$7:$BV$36,CG20)="","-",VLOOKUP($CJ$7,'2° PERIODO'!$A$7:$BV$36,CG20)),"")</f>
        <v>B</v>
      </c>
      <c r="AQ20" s="40"/>
      <c r="AR20" s="40"/>
      <c r="AS20" s="40"/>
      <c r="AT20" s="40"/>
      <c r="AU20" s="40"/>
      <c r="AV20" s="40"/>
      <c r="AW20" s="40"/>
      <c r="AX20" s="40"/>
      <c r="AY20" s="40"/>
      <c r="AZ20" s="40"/>
      <c r="BA20" s="40"/>
      <c r="BB20" s="40"/>
      <c r="BC20" s="40" t="str">
        <f>IFERROR(IF(VLOOKUP($CJ$7,'3° PERIODO'!$A$7:$BV$36,CG20)="","-",VLOOKUP($CJ$7,'3° PERIODO'!$A$7:$BV$36,CG20)),"")</f>
        <v>A</v>
      </c>
      <c r="BD20" s="40"/>
      <c r="BE20" s="40"/>
      <c r="BF20" s="40"/>
      <c r="BG20" s="40"/>
      <c r="BH20" s="40"/>
      <c r="BI20" s="40"/>
      <c r="BJ20" s="40"/>
      <c r="BK20" s="40"/>
      <c r="BL20" s="40"/>
      <c r="BM20" s="40"/>
      <c r="BN20" s="40"/>
      <c r="BO20" s="40"/>
      <c r="BP20" s="40" t="str">
        <f>IFERROR(IF(VLOOKUP($CJ$7,'4° PERIODO'!$A$7:$BV$36,CG20)="","-",VLOOKUP($CJ$7,'4° PERIODO'!$A$7:$BV$36,CG20)),"")</f>
        <v>A</v>
      </c>
      <c r="BQ20" s="40"/>
      <c r="BR20" s="40"/>
      <c r="BS20" s="40"/>
      <c r="BT20" s="40"/>
      <c r="BU20" s="40"/>
      <c r="BV20" s="40"/>
      <c r="BW20" s="40"/>
      <c r="BX20" s="40"/>
      <c r="BY20" s="40"/>
      <c r="BZ20" s="40"/>
      <c r="CA20" s="40"/>
      <c r="CB20" s="40"/>
      <c r="CC20" s="40" t="str" cm="1">
        <f t="array" ref="CC20">IFERROR(_xlfn.XLOOKUP(ROUND(AVERAGE(_xlfn.XLOOKUP(CK20:CN20,{"AD";"A";"B";"C"},{1;2;3;4},"")),0),{1;2;3;4},{"AD";"A";"B";"C"}),"-")</f>
        <v>B</v>
      </c>
      <c r="CD20" s="40"/>
      <c r="CE20" s="40"/>
      <c r="CF20" s="40"/>
      <c r="CG20" s="27">
        <v>17</v>
      </c>
      <c r="CK20" s="22" t="str">
        <f t="shared" si="0"/>
        <v>B</v>
      </c>
      <c r="CL20" s="22" t="str">
        <f t="shared" si="1"/>
        <v>B</v>
      </c>
      <c r="CM20" s="22" t="str">
        <f t="shared" si="2"/>
        <v>A</v>
      </c>
      <c r="CN20" s="22" t="str">
        <f t="shared" si="3"/>
        <v>A</v>
      </c>
    </row>
    <row r="21" spans="1:92" ht="25.15" customHeight="1" x14ac:dyDescent="0.25">
      <c r="A21" s="80" t="s">
        <v>24</v>
      </c>
      <c r="B21" s="81"/>
      <c r="C21" s="81"/>
      <c r="D21" s="81"/>
      <c r="E21" s="81"/>
      <c r="F21" s="81"/>
      <c r="G21" s="81"/>
      <c r="H21" s="81"/>
      <c r="I21" s="81"/>
      <c r="J21" s="82"/>
      <c r="K21" s="78" t="s">
        <v>58</v>
      </c>
      <c r="L21" s="78"/>
      <c r="M21" s="78"/>
      <c r="N21" s="78"/>
      <c r="O21" s="78"/>
      <c r="P21" s="78"/>
      <c r="Q21" s="78"/>
      <c r="R21" s="78"/>
      <c r="S21" s="78"/>
      <c r="T21" s="78"/>
      <c r="U21" s="78"/>
      <c r="V21" s="78"/>
      <c r="W21" s="78"/>
      <c r="X21" s="78"/>
      <c r="Y21" s="78"/>
      <c r="Z21" s="78"/>
      <c r="AA21" s="78"/>
      <c r="AB21" s="78"/>
      <c r="AC21" s="42" t="str">
        <f>IFERROR(IF(VLOOKUP($CJ$7,'1° PERIODO'!$A$7:$AT$36,CG21)="","-",VLOOKUP($CJ$7,'1° PERIODO'!$A$7:$AT$36,CG21)),"")</f>
        <v>A</v>
      </c>
      <c r="AD21" s="42"/>
      <c r="AE21" s="42"/>
      <c r="AF21" s="42" t="str">
        <f>IFERROR(IF(VLOOKUP($CJ$7,'1° PERIODO'!$A$7:$AT$36,CG21+1)="","",VLOOKUP($CJ$7,'1° PERIODO'!$A$7:$AT$36,CG21+1)),"")</f>
        <v/>
      </c>
      <c r="AG21" s="42"/>
      <c r="AH21" s="42"/>
      <c r="AI21" s="42"/>
      <c r="AJ21" s="42"/>
      <c r="AK21" s="42"/>
      <c r="AL21" s="42"/>
      <c r="AM21" s="42"/>
      <c r="AN21" s="42"/>
      <c r="AO21" s="42"/>
      <c r="AP21" s="42" t="str">
        <f>IFERROR(IF(VLOOKUP($CJ$7,'2° PERIODO'!$A$7:$BV$36,CG21)="","-",VLOOKUP($CJ$7,'2° PERIODO'!$A$7:$BV$36,CG21)),"")</f>
        <v>A</v>
      </c>
      <c r="AQ21" s="42"/>
      <c r="AR21" s="42"/>
      <c r="AS21" s="42" t="str">
        <f>IFERROR(IF(VLOOKUP($CJ$7,'2° PERIODO'!$A$7:$BV$36,CG21+1)="","",VLOOKUP($CJ$7,'2° PERIODO'!$A$7:$BV$36,CG21+1)),"")</f>
        <v/>
      </c>
      <c r="AT21" s="42"/>
      <c r="AU21" s="42"/>
      <c r="AV21" s="42"/>
      <c r="AW21" s="42"/>
      <c r="AX21" s="42"/>
      <c r="AY21" s="42"/>
      <c r="AZ21" s="42"/>
      <c r="BA21" s="42"/>
      <c r="BB21" s="42"/>
      <c r="BC21" s="42" t="str">
        <f>IFERROR(IF(VLOOKUP($CJ$7,'3° PERIODO'!$A$7:$BV$36,CG21)="","-",VLOOKUP($CJ$7,'3° PERIODO'!$A$7:$BV$36,CG21)),"")</f>
        <v>A</v>
      </c>
      <c r="BD21" s="42"/>
      <c r="BE21" s="42"/>
      <c r="BF21" s="42" t="str">
        <f>IFERROR(IF(VLOOKUP($CJ$7,'3° PERIODO'!$A$7:$BV$36,CG21+1)="","",VLOOKUP($CJ$7,'3° PERIODO'!$A$7:$BV$36,CG21+1)),"")</f>
        <v/>
      </c>
      <c r="BG21" s="42"/>
      <c r="BH21" s="42"/>
      <c r="BI21" s="42"/>
      <c r="BJ21" s="42"/>
      <c r="BK21" s="42"/>
      <c r="BL21" s="42"/>
      <c r="BM21" s="42"/>
      <c r="BN21" s="42"/>
      <c r="BO21" s="42"/>
      <c r="BP21" s="42" t="str">
        <f>IFERROR(IF(VLOOKUP($CJ$7,'4° PERIODO'!$A$7:$BV$36,CG21)="","-",VLOOKUP($CJ$7,'4° PERIODO'!$A$7:$BV$36,CG21)),"")</f>
        <v>A</v>
      </c>
      <c r="BQ21" s="42"/>
      <c r="BR21" s="42"/>
      <c r="BS21" s="42" t="str">
        <f>IFERROR(IF(VLOOKUP($CJ$7,'2° PERIODO'!$A$7:$BV$36,CG21+1)="","",VLOOKUP($CJ$7,'2° PERIODO'!$A$7:$BV$36,CG21+1)),"")</f>
        <v/>
      </c>
      <c r="BT21" s="42"/>
      <c r="BU21" s="42"/>
      <c r="BV21" s="42"/>
      <c r="BW21" s="42"/>
      <c r="BX21" s="42"/>
      <c r="BY21" s="42"/>
      <c r="BZ21" s="42"/>
      <c r="CA21" s="42"/>
      <c r="CB21" s="42"/>
      <c r="CC21" s="40" t="str" cm="1">
        <f t="array" ref="CC21">IFERROR(_xlfn.XLOOKUP(ROUND(AVERAGE(_xlfn.XLOOKUP(CK21:CN21,{"AD";"A";"B";"C"},{1;2;3;4},"")),0),{1;2;3;4},{"AD";"A";"B";"C"}),"-")</f>
        <v>A</v>
      </c>
      <c r="CD21" s="40"/>
      <c r="CE21" s="40"/>
      <c r="CF21" s="40"/>
      <c r="CG21" s="27">
        <v>18</v>
      </c>
      <c r="CK21" s="22" t="str">
        <f t="shared" si="0"/>
        <v>A</v>
      </c>
      <c r="CL21" s="22" t="str">
        <f t="shared" si="1"/>
        <v>A</v>
      </c>
      <c r="CM21" s="22" t="str">
        <f t="shared" si="2"/>
        <v>A</v>
      </c>
      <c r="CN21" s="22" t="str">
        <f t="shared" si="3"/>
        <v>A</v>
      </c>
    </row>
    <row r="22" spans="1:92" ht="25.15" customHeight="1" x14ac:dyDescent="0.25">
      <c r="A22" s="95"/>
      <c r="B22" s="96"/>
      <c r="C22" s="96"/>
      <c r="D22" s="96"/>
      <c r="E22" s="96"/>
      <c r="F22" s="96"/>
      <c r="G22" s="96"/>
      <c r="H22" s="96"/>
      <c r="I22" s="96"/>
      <c r="J22" s="97"/>
      <c r="K22" s="78" t="s">
        <v>59</v>
      </c>
      <c r="L22" s="78"/>
      <c r="M22" s="78"/>
      <c r="N22" s="78"/>
      <c r="O22" s="78"/>
      <c r="P22" s="78"/>
      <c r="Q22" s="78"/>
      <c r="R22" s="78"/>
      <c r="S22" s="78"/>
      <c r="T22" s="78"/>
      <c r="U22" s="78"/>
      <c r="V22" s="78"/>
      <c r="W22" s="78"/>
      <c r="X22" s="78"/>
      <c r="Y22" s="78"/>
      <c r="Z22" s="78"/>
      <c r="AA22" s="78"/>
      <c r="AB22" s="78"/>
      <c r="AC22" s="42" t="str">
        <f>IFERROR(IF(VLOOKUP($CJ$7,'1° PERIODO'!$A$7:$AT$36,CG22)="","-",VLOOKUP($CJ$7,'1° PERIODO'!$A$7:$AT$36,CG22)),"")</f>
        <v>B</v>
      </c>
      <c r="AD22" s="42"/>
      <c r="AE22" s="42"/>
      <c r="AF22" s="42" t="str">
        <f>IFERROR(IF(VLOOKUP($CJ$7,'1° PERIODO'!$A$7:$AT$36,CG22+1)="","",VLOOKUP($CJ$7,'1° PERIODO'!$A$7:$AT$36,CG22+1)),"")</f>
        <v/>
      </c>
      <c r="AG22" s="42"/>
      <c r="AH22" s="42"/>
      <c r="AI22" s="42"/>
      <c r="AJ22" s="42"/>
      <c r="AK22" s="42"/>
      <c r="AL22" s="42"/>
      <c r="AM22" s="42"/>
      <c r="AN22" s="42"/>
      <c r="AO22" s="42"/>
      <c r="AP22" s="42" t="str">
        <f>IFERROR(IF(VLOOKUP($CJ$7,'2° PERIODO'!$A$7:$BV$36,CG22)="","-",VLOOKUP($CJ$7,'2° PERIODO'!$A$7:$BV$36,CG22)),"")</f>
        <v>A</v>
      </c>
      <c r="AQ22" s="42"/>
      <c r="AR22" s="42"/>
      <c r="AS22" s="42" t="str">
        <f>IFERROR(IF(VLOOKUP($CJ$7,'2° PERIODO'!$A$7:$BV$36,CG22+1)="","",VLOOKUP($CJ$7,'2° PERIODO'!$A$7:$BV$36,CG22+1)),"")</f>
        <v/>
      </c>
      <c r="AT22" s="42"/>
      <c r="AU22" s="42"/>
      <c r="AV22" s="42"/>
      <c r="AW22" s="42"/>
      <c r="AX22" s="42"/>
      <c r="AY22" s="42"/>
      <c r="AZ22" s="42"/>
      <c r="BA22" s="42"/>
      <c r="BB22" s="42"/>
      <c r="BC22" s="42" t="str">
        <f>IFERROR(IF(VLOOKUP($CJ$7,'3° PERIODO'!$A$7:$BV$36,CG22)="","-",VLOOKUP($CJ$7,'3° PERIODO'!$A$7:$BV$36,CG22)),"")</f>
        <v>A</v>
      </c>
      <c r="BD22" s="42"/>
      <c r="BE22" s="42"/>
      <c r="BF22" s="42" t="str">
        <f>IFERROR(IF(VLOOKUP($CJ$7,'3° PERIODO'!$A$7:$BV$36,CG22+1)="","",VLOOKUP($CJ$7,'3° PERIODO'!$A$7:$BV$36,CG22+1)),"")</f>
        <v/>
      </c>
      <c r="BG22" s="42"/>
      <c r="BH22" s="42"/>
      <c r="BI22" s="42"/>
      <c r="BJ22" s="42"/>
      <c r="BK22" s="42"/>
      <c r="BL22" s="42"/>
      <c r="BM22" s="42"/>
      <c r="BN22" s="42"/>
      <c r="BO22" s="42"/>
      <c r="BP22" s="42" t="str">
        <f>IFERROR(IF(VLOOKUP($CJ$7,'4° PERIODO'!$A$7:$BV$36,CG22)="","-",VLOOKUP($CJ$7,'4° PERIODO'!$A$7:$BV$36,CG22)),"")</f>
        <v>A</v>
      </c>
      <c r="BQ22" s="42"/>
      <c r="BR22" s="42"/>
      <c r="BS22" s="42" t="str">
        <f>IFERROR(IF(VLOOKUP($CJ$7,'2° PERIODO'!$A$7:$BV$36,CG22+1)="","",VLOOKUP($CJ$7,'2° PERIODO'!$A$7:$BV$36,CG22+1)),"")</f>
        <v/>
      </c>
      <c r="BT22" s="42"/>
      <c r="BU22" s="42"/>
      <c r="BV22" s="42"/>
      <c r="BW22" s="42"/>
      <c r="BX22" s="42"/>
      <c r="BY22" s="42"/>
      <c r="BZ22" s="42"/>
      <c r="CA22" s="42"/>
      <c r="CB22" s="42"/>
      <c r="CC22" s="40" t="str" cm="1">
        <f t="array" ref="CC22">IFERROR(_xlfn.XLOOKUP(ROUND(AVERAGE(_xlfn.XLOOKUP(CK22:CN22,{"AD";"A";"B";"C"},{1;2;3;4},"")),0),{1;2;3;4},{"AD";"A";"B";"C"}),"-")</f>
        <v>A</v>
      </c>
      <c r="CD22" s="40"/>
      <c r="CE22" s="40"/>
      <c r="CF22" s="40"/>
      <c r="CG22" s="27">
        <v>20</v>
      </c>
      <c r="CK22" s="22" t="str">
        <f t="shared" si="0"/>
        <v>B</v>
      </c>
      <c r="CL22" s="22" t="str">
        <f t="shared" si="1"/>
        <v>A</v>
      </c>
      <c r="CM22" s="22" t="str">
        <f t="shared" si="2"/>
        <v>A</v>
      </c>
      <c r="CN22" s="22" t="str">
        <f t="shared" si="3"/>
        <v>A</v>
      </c>
    </row>
    <row r="23" spans="1:92" ht="25.15" customHeight="1" x14ac:dyDescent="0.25">
      <c r="A23" s="95"/>
      <c r="B23" s="96"/>
      <c r="C23" s="96"/>
      <c r="D23" s="96"/>
      <c r="E23" s="96"/>
      <c r="F23" s="96"/>
      <c r="G23" s="96"/>
      <c r="H23" s="96"/>
      <c r="I23" s="96"/>
      <c r="J23" s="97"/>
      <c r="K23" s="78" t="s">
        <v>60</v>
      </c>
      <c r="L23" s="78"/>
      <c r="M23" s="78"/>
      <c r="N23" s="78"/>
      <c r="O23" s="78"/>
      <c r="P23" s="78"/>
      <c r="Q23" s="78"/>
      <c r="R23" s="78"/>
      <c r="S23" s="78"/>
      <c r="T23" s="78"/>
      <c r="U23" s="78"/>
      <c r="V23" s="78"/>
      <c r="W23" s="78"/>
      <c r="X23" s="78"/>
      <c r="Y23" s="78"/>
      <c r="Z23" s="78"/>
      <c r="AA23" s="78"/>
      <c r="AB23" s="78"/>
      <c r="AC23" s="42" t="str">
        <f>IFERROR(IF(VLOOKUP($CJ$7,'1° PERIODO'!$A$7:$AT$36,CG23)="","-",VLOOKUP($CJ$7,'1° PERIODO'!$A$7:$AT$36,CG23)),"")</f>
        <v>B</v>
      </c>
      <c r="AD23" s="42"/>
      <c r="AE23" s="42"/>
      <c r="AF23" s="42" t="str">
        <f>IFERROR(IF(VLOOKUP($CJ$7,'1° PERIODO'!$A$7:$AT$36,CG23+1)="","",VLOOKUP($CJ$7,'1° PERIODO'!$A$7:$AT$36,CG23+1)),"")</f>
        <v/>
      </c>
      <c r="AG23" s="42"/>
      <c r="AH23" s="42"/>
      <c r="AI23" s="42"/>
      <c r="AJ23" s="42"/>
      <c r="AK23" s="42"/>
      <c r="AL23" s="42"/>
      <c r="AM23" s="42"/>
      <c r="AN23" s="42"/>
      <c r="AO23" s="42"/>
      <c r="AP23" s="42" t="str">
        <f>IFERROR(IF(VLOOKUP($CJ$7,'2° PERIODO'!$A$7:$BV$36,CG23)="","-",VLOOKUP($CJ$7,'2° PERIODO'!$A$7:$BV$36,CG23)),"")</f>
        <v>B</v>
      </c>
      <c r="AQ23" s="42"/>
      <c r="AR23" s="42"/>
      <c r="AS23" s="42" t="str">
        <f>IFERROR(IF(VLOOKUP($CJ$7,'2° PERIODO'!$A$7:$BV$36,CG23+1)="","",VLOOKUP($CJ$7,'2° PERIODO'!$A$7:$BV$36,CG23+1)),"")</f>
        <v/>
      </c>
      <c r="AT23" s="42"/>
      <c r="AU23" s="42"/>
      <c r="AV23" s="42"/>
      <c r="AW23" s="42"/>
      <c r="AX23" s="42"/>
      <c r="AY23" s="42"/>
      <c r="AZ23" s="42"/>
      <c r="BA23" s="42"/>
      <c r="BB23" s="42"/>
      <c r="BC23" s="42" t="str">
        <f>IFERROR(IF(VLOOKUP($CJ$7,'3° PERIODO'!$A$7:$BV$36,CG23)="","-",VLOOKUP($CJ$7,'3° PERIODO'!$A$7:$BV$36,CG23)),"")</f>
        <v>A</v>
      </c>
      <c r="BD23" s="42"/>
      <c r="BE23" s="42"/>
      <c r="BF23" s="42" t="str">
        <f>IFERROR(IF(VLOOKUP($CJ$7,'3° PERIODO'!$A$7:$BV$36,CG23+1)="","",VLOOKUP($CJ$7,'3° PERIODO'!$A$7:$BV$36,CG23+1)),"")</f>
        <v/>
      </c>
      <c r="BG23" s="42"/>
      <c r="BH23" s="42"/>
      <c r="BI23" s="42"/>
      <c r="BJ23" s="42"/>
      <c r="BK23" s="42"/>
      <c r="BL23" s="42"/>
      <c r="BM23" s="42"/>
      <c r="BN23" s="42"/>
      <c r="BO23" s="42"/>
      <c r="BP23" s="42" t="str">
        <f>IFERROR(IF(VLOOKUP($CJ$7,'4° PERIODO'!$A$7:$BV$36,CG23)="","-",VLOOKUP($CJ$7,'4° PERIODO'!$A$7:$BV$36,CG23)),"")</f>
        <v>A</v>
      </c>
      <c r="BQ23" s="42"/>
      <c r="BR23" s="42"/>
      <c r="BS23" s="42" t="str">
        <f>IFERROR(IF(VLOOKUP($CJ$7,'2° PERIODO'!$A$7:$BV$36,CG23+1)="","",VLOOKUP($CJ$7,'2° PERIODO'!$A$7:$BV$36,CG23+1)),"")</f>
        <v/>
      </c>
      <c r="BT23" s="42"/>
      <c r="BU23" s="42"/>
      <c r="BV23" s="42"/>
      <c r="BW23" s="42"/>
      <c r="BX23" s="42"/>
      <c r="BY23" s="42"/>
      <c r="BZ23" s="42"/>
      <c r="CA23" s="42"/>
      <c r="CB23" s="42"/>
      <c r="CC23" s="40" t="str" cm="1">
        <f t="array" ref="CC23">IFERROR(_xlfn.XLOOKUP(ROUND(AVERAGE(_xlfn.XLOOKUP(CK23:CN23,{"AD";"A";"B";"C"},{1;2;3;4},"")),0),{1;2;3;4},{"AD";"A";"B";"C"}),"-")</f>
        <v>B</v>
      </c>
      <c r="CD23" s="40"/>
      <c r="CE23" s="40"/>
      <c r="CF23" s="40"/>
      <c r="CG23" s="27">
        <v>22</v>
      </c>
      <c r="CK23" s="22" t="str">
        <f t="shared" si="0"/>
        <v>B</v>
      </c>
      <c r="CL23" s="22" t="str">
        <f t="shared" si="1"/>
        <v>B</v>
      </c>
      <c r="CM23" s="22" t="str">
        <f t="shared" si="2"/>
        <v>A</v>
      </c>
      <c r="CN23" s="22" t="str">
        <f t="shared" si="3"/>
        <v>A</v>
      </c>
    </row>
    <row r="24" spans="1:92" ht="25.15" customHeight="1" x14ac:dyDescent="0.25">
      <c r="A24" s="95"/>
      <c r="B24" s="96"/>
      <c r="C24" s="96"/>
      <c r="D24" s="96"/>
      <c r="E24" s="96"/>
      <c r="F24" s="96"/>
      <c r="G24" s="96"/>
      <c r="H24" s="96"/>
      <c r="I24" s="96"/>
      <c r="J24" s="97"/>
      <c r="K24" s="78" t="s">
        <v>92</v>
      </c>
      <c r="L24" s="78"/>
      <c r="M24" s="78"/>
      <c r="N24" s="78"/>
      <c r="O24" s="78"/>
      <c r="P24" s="78"/>
      <c r="Q24" s="78"/>
      <c r="R24" s="78"/>
      <c r="S24" s="78"/>
      <c r="T24" s="78"/>
      <c r="U24" s="78"/>
      <c r="V24" s="78"/>
      <c r="W24" s="78"/>
      <c r="X24" s="78"/>
      <c r="Y24" s="78"/>
      <c r="Z24" s="78"/>
      <c r="AA24" s="78"/>
      <c r="AB24" s="78"/>
      <c r="AC24" s="42" t="str">
        <f>IFERROR(IF(VLOOKUP($CJ$7,'1° PERIODO'!$A$7:$AT$36,CG24)="","-",VLOOKUP($CJ$7,'1° PERIODO'!$A$7:$AT$36,CG24)),"")</f>
        <v>B</v>
      </c>
      <c r="AD24" s="42"/>
      <c r="AE24" s="42"/>
      <c r="AF24" s="42" t="str">
        <f>IFERROR(IF(VLOOKUP($CJ$7,'1° PERIODO'!$A$7:$AT$36,CG24+1)="","",VLOOKUP($CJ$7,'1° PERIODO'!$A$7:$AT$36,CG24+1)),"")</f>
        <v/>
      </c>
      <c r="AG24" s="42"/>
      <c r="AH24" s="42"/>
      <c r="AI24" s="42"/>
      <c r="AJ24" s="42"/>
      <c r="AK24" s="42"/>
      <c r="AL24" s="42"/>
      <c r="AM24" s="42"/>
      <c r="AN24" s="42"/>
      <c r="AO24" s="42"/>
      <c r="AP24" s="42" t="str">
        <f>IFERROR(IF(VLOOKUP($CJ$7,'2° PERIODO'!$A$7:$BV$36,CG24)="","-",VLOOKUP($CJ$7,'2° PERIODO'!$A$7:$BV$36,CG24)),"")</f>
        <v>A</v>
      </c>
      <c r="AQ24" s="42"/>
      <c r="AR24" s="42"/>
      <c r="AS24" s="42" t="str">
        <f>IFERROR(IF(VLOOKUP($CJ$7,'2° PERIODO'!$A$7:$BV$36,CG24+1)="","",VLOOKUP($CJ$7,'2° PERIODO'!$A$7:$BV$36,CG24+1)),"")</f>
        <v/>
      </c>
      <c r="AT24" s="42"/>
      <c r="AU24" s="42"/>
      <c r="AV24" s="42"/>
      <c r="AW24" s="42"/>
      <c r="AX24" s="42"/>
      <c r="AY24" s="42"/>
      <c r="AZ24" s="42"/>
      <c r="BA24" s="42"/>
      <c r="BB24" s="42"/>
      <c r="BC24" s="42" t="str">
        <f>IFERROR(IF(VLOOKUP($CJ$7,'3° PERIODO'!$A$7:$BV$36,CG24)="","-",VLOOKUP($CJ$7,'3° PERIODO'!$A$7:$BV$36,CG24)),"")</f>
        <v>A</v>
      </c>
      <c r="BD24" s="42"/>
      <c r="BE24" s="42"/>
      <c r="BF24" s="42" t="str">
        <f>IFERROR(IF(VLOOKUP($CJ$7,'3° PERIODO'!$A$7:$BV$36,CG24+1)="","",VLOOKUP($CJ$7,'3° PERIODO'!$A$7:$BV$36,CG24+1)),"")</f>
        <v/>
      </c>
      <c r="BG24" s="42"/>
      <c r="BH24" s="42"/>
      <c r="BI24" s="42"/>
      <c r="BJ24" s="42"/>
      <c r="BK24" s="42"/>
      <c r="BL24" s="42"/>
      <c r="BM24" s="42"/>
      <c r="BN24" s="42"/>
      <c r="BO24" s="42"/>
      <c r="BP24" s="42" t="str">
        <f>IFERROR(IF(VLOOKUP($CJ$7,'4° PERIODO'!$A$7:$BV$36,CG24)="","-",VLOOKUP($CJ$7,'4° PERIODO'!$A$7:$BV$36,CG24)),"")</f>
        <v>A</v>
      </c>
      <c r="BQ24" s="42"/>
      <c r="BR24" s="42"/>
      <c r="BS24" s="42" t="str">
        <f>IFERROR(IF(VLOOKUP($CJ$7,'2° PERIODO'!$A$7:$BV$36,CG24+1)="","",VLOOKUP($CJ$7,'2° PERIODO'!$A$7:$BV$36,CG24+1)),"")</f>
        <v/>
      </c>
      <c r="BT24" s="42"/>
      <c r="BU24" s="42"/>
      <c r="BV24" s="42"/>
      <c r="BW24" s="42"/>
      <c r="BX24" s="42"/>
      <c r="BY24" s="42"/>
      <c r="BZ24" s="42"/>
      <c r="CA24" s="42"/>
      <c r="CB24" s="42"/>
      <c r="CC24" s="40" t="str" cm="1">
        <f t="array" ref="CC24">IFERROR(_xlfn.XLOOKUP(ROUND(AVERAGE(_xlfn.XLOOKUP(CK24:CN24,{"AD";"A";"B";"C"},{1;2;3;4},"")),0),{1;2;3;4},{"AD";"A";"B";"C"}),"-")</f>
        <v>A</v>
      </c>
      <c r="CD24" s="40"/>
      <c r="CE24" s="40"/>
      <c r="CF24" s="40"/>
      <c r="CG24" s="27">
        <v>24</v>
      </c>
      <c r="CK24" s="22" t="str">
        <f t="shared" si="0"/>
        <v>B</v>
      </c>
      <c r="CL24" s="22" t="str">
        <f t="shared" si="1"/>
        <v>A</v>
      </c>
      <c r="CM24" s="22" t="str">
        <f t="shared" si="2"/>
        <v>A</v>
      </c>
      <c r="CN24" s="22" t="str">
        <f t="shared" si="3"/>
        <v>A</v>
      </c>
    </row>
    <row r="25" spans="1:92" ht="25.15" customHeight="1" x14ac:dyDescent="0.25">
      <c r="A25" s="83"/>
      <c r="B25" s="84"/>
      <c r="C25" s="84"/>
      <c r="D25" s="84"/>
      <c r="E25" s="84"/>
      <c r="F25" s="84"/>
      <c r="G25" s="84"/>
      <c r="H25" s="84"/>
      <c r="I25" s="84"/>
      <c r="J25" s="85"/>
      <c r="K25" s="89" t="s">
        <v>56</v>
      </c>
      <c r="L25" s="90"/>
      <c r="M25" s="90"/>
      <c r="N25" s="90"/>
      <c r="O25" s="90"/>
      <c r="P25" s="90"/>
      <c r="Q25" s="90"/>
      <c r="R25" s="90"/>
      <c r="S25" s="90"/>
      <c r="T25" s="90"/>
      <c r="U25" s="90"/>
      <c r="V25" s="90"/>
      <c r="W25" s="90"/>
      <c r="X25" s="90"/>
      <c r="Y25" s="90"/>
      <c r="Z25" s="90"/>
      <c r="AA25" s="90"/>
      <c r="AB25" s="91"/>
      <c r="AC25" s="40" t="str">
        <f>IFERROR(IF(VLOOKUP($CJ$7,'1° PERIODO'!$A$7:$AT$36,CG25)="","-",VLOOKUP($CJ$7,'1° PERIODO'!$A$7:$AT$36,CG25)),"")</f>
        <v>B</v>
      </c>
      <c r="AD25" s="40"/>
      <c r="AE25" s="40"/>
      <c r="AF25" s="40"/>
      <c r="AG25" s="40"/>
      <c r="AH25" s="40"/>
      <c r="AI25" s="40"/>
      <c r="AJ25" s="40"/>
      <c r="AK25" s="40"/>
      <c r="AL25" s="40"/>
      <c r="AM25" s="40"/>
      <c r="AN25" s="40"/>
      <c r="AO25" s="40"/>
      <c r="AP25" s="40" t="str">
        <f>IFERROR(IF(VLOOKUP($CJ$7,'2° PERIODO'!$A$7:$BV$36,CG25)="","-",VLOOKUP($CJ$7,'2° PERIODO'!$A$7:$BV$36,CG25)),"")</f>
        <v>A</v>
      </c>
      <c r="AQ25" s="40"/>
      <c r="AR25" s="40"/>
      <c r="AS25" s="40"/>
      <c r="AT25" s="40"/>
      <c r="AU25" s="40"/>
      <c r="AV25" s="40"/>
      <c r="AW25" s="40"/>
      <c r="AX25" s="40"/>
      <c r="AY25" s="40"/>
      <c r="AZ25" s="40"/>
      <c r="BA25" s="40"/>
      <c r="BB25" s="40"/>
      <c r="BC25" s="40" t="str">
        <f>IFERROR(IF(VLOOKUP($CJ$7,'3° PERIODO'!$A$7:$BV$36,CG25)="","-",VLOOKUP($CJ$7,'3° PERIODO'!$A$7:$BV$36,CG25)),"")</f>
        <v>A</v>
      </c>
      <c r="BD25" s="40"/>
      <c r="BE25" s="40"/>
      <c r="BF25" s="40"/>
      <c r="BG25" s="40"/>
      <c r="BH25" s="40"/>
      <c r="BI25" s="40"/>
      <c r="BJ25" s="40"/>
      <c r="BK25" s="40"/>
      <c r="BL25" s="40"/>
      <c r="BM25" s="40"/>
      <c r="BN25" s="40"/>
      <c r="BO25" s="40"/>
      <c r="BP25" s="40" t="str">
        <f>IFERROR(IF(VLOOKUP($CJ$7,'4° PERIODO'!$A$7:$BV$36,CG25)="","-",VLOOKUP($CJ$7,'4° PERIODO'!$A$7:$BV$36,CG25)),"")</f>
        <v>A</v>
      </c>
      <c r="BQ25" s="40"/>
      <c r="BR25" s="40"/>
      <c r="BS25" s="40"/>
      <c r="BT25" s="40"/>
      <c r="BU25" s="40"/>
      <c r="BV25" s="40"/>
      <c r="BW25" s="40"/>
      <c r="BX25" s="40"/>
      <c r="BY25" s="40"/>
      <c r="BZ25" s="40"/>
      <c r="CA25" s="40"/>
      <c r="CB25" s="40"/>
      <c r="CC25" s="40" t="str" cm="1">
        <f t="array" ref="CC25">IFERROR(_xlfn.XLOOKUP(ROUND(AVERAGE(_xlfn.XLOOKUP(CK25:CN25,{"AD";"A";"B";"C"},{1;2;3;4},"")),0),{1;2;3;4},{"AD";"A";"B";"C"}),"-")</f>
        <v>A</v>
      </c>
      <c r="CD25" s="40"/>
      <c r="CE25" s="40"/>
      <c r="CF25" s="40"/>
      <c r="CG25" s="27">
        <v>26</v>
      </c>
      <c r="CK25" s="22" t="str">
        <f t="shared" si="0"/>
        <v>B</v>
      </c>
      <c r="CL25" s="22" t="str">
        <f t="shared" si="1"/>
        <v>A</v>
      </c>
      <c r="CM25" s="22" t="str">
        <f t="shared" si="2"/>
        <v>A</v>
      </c>
      <c r="CN25" s="22" t="str">
        <f t="shared" si="3"/>
        <v>A</v>
      </c>
    </row>
    <row r="26" spans="1:92" ht="25.15" customHeight="1" x14ac:dyDescent="0.25">
      <c r="A26" s="80" t="s">
        <v>26</v>
      </c>
      <c r="B26" s="81"/>
      <c r="C26" s="81"/>
      <c r="D26" s="81"/>
      <c r="E26" s="81"/>
      <c r="F26" s="81"/>
      <c r="G26" s="81"/>
      <c r="H26" s="81"/>
      <c r="I26" s="81"/>
      <c r="J26" s="82"/>
      <c r="K26" s="78" t="s">
        <v>61</v>
      </c>
      <c r="L26" s="78"/>
      <c r="M26" s="78"/>
      <c r="N26" s="78"/>
      <c r="O26" s="78"/>
      <c r="P26" s="78"/>
      <c r="Q26" s="78"/>
      <c r="R26" s="78"/>
      <c r="S26" s="78"/>
      <c r="T26" s="78"/>
      <c r="U26" s="78"/>
      <c r="V26" s="78"/>
      <c r="W26" s="78"/>
      <c r="X26" s="78"/>
      <c r="Y26" s="78"/>
      <c r="Z26" s="78"/>
      <c r="AA26" s="78"/>
      <c r="AB26" s="78"/>
      <c r="AC26" s="42" t="str">
        <f>IFERROR(IF(VLOOKUP($CJ$7,'1° PERIODO'!$A$7:$AT$36,CG26)="","-",VLOOKUP($CJ$7,'1° PERIODO'!$A$7:$AT$36,CG26)),"")</f>
        <v>B</v>
      </c>
      <c r="AD26" s="42"/>
      <c r="AE26" s="42"/>
      <c r="AF26" s="42" t="str">
        <f>IFERROR(IF(VLOOKUP($CJ$7,'1° PERIODO'!$A$7:$AT$36,CG26+1)="","",VLOOKUP($CJ$7,'1° PERIODO'!$A$7:$AT$36,CG26+1)),"")</f>
        <v/>
      </c>
      <c r="AG26" s="42"/>
      <c r="AH26" s="42"/>
      <c r="AI26" s="42"/>
      <c r="AJ26" s="42"/>
      <c r="AK26" s="42"/>
      <c r="AL26" s="42"/>
      <c r="AM26" s="42"/>
      <c r="AN26" s="42"/>
      <c r="AO26" s="42"/>
      <c r="AP26" s="42" t="str">
        <f>IFERROR(IF(VLOOKUP($CJ$7,'2° PERIODO'!$A$7:$BV$36,CG26)="","-",VLOOKUP($CJ$7,'2° PERIODO'!$A$7:$BV$36,CG26)),"")</f>
        <v>B</v>
      </c>
      <c r="AQ26" s="42"/>
      <c r="AR26" s="42"/>
      <c r="AS26" s="42" t="str">
        <f>IFERROR(IF(VLOOKUP($CJ$7,'2° PERIODO'!$A$7:$BV$36,CG26+1)="","",VLOOKUP($CJ$7,'2° PERIODO'!$A$7:$BV$36,CG26+1)),"")</f>
        <v/>
      </c>
      <c r="AT26" s="42"/>
      <c r="AU26" s="42"/>
      <c r="AV26" s="42"/>
      <c r="AW26" s="42"/>
      <c r="AX26" s="42"/>
      <c r="AY26" s="42"/>
      <c r="AZ26" s="42"/>
      <c r="BA26" s="42"/>
      <c r="BB26" s="42"/>
      <c r="BC26" s="42" t="str">
        <f>IFERROR(IF(VLOOKUP($CJ$7,'3° PERIODO'!$A$7:$BV$36,CG26)="","-",VLOOKUP($CJ$7,'3° PERIODO'!$A$7:$BV$36,CG26)),"")</f>
        <v>A</v>
      </c>
      <c r="BD26" s="42"/>
      <c r="BE26" s="42"/>
      <c r="BF26" s="42" t="str">
        <f>IFERROR(IF(VLOOKUP($CJ$7,'3° PERIODO'!$A$7:$BV$36,CG26+1)="","",VLOOKUP($CJ$7,'3° PERIODO'!$A$7:$BV$36,CG26+1)),"")</f>
        <v/>
      </c>
      <c r="BG26" s="42"/>
      <c r="BH26" s="42"/>
      <c r="BI26" s="42"/>
      <c r="BJ26" s="42"/>
      <c r="BK26" s="42"/>
      <c r="BL26" s="42"/>
      <c r="BM26" s="42"/>
      <c r="BN26" s="42"/>
      <c r="BO26" s="42"/>
      <c r="BP26" s="42" t="str">
        <f>IFERROR(IF(VLOOKUP($CJ$7,'4° PERIODO'!$A$7:$BV$36,CG26)="","-",VLOOKUP($CJ$7,'4° PERIODO'!$A$7:$BV$36,CG26)),"")</f>
        <v>A</v>
      </c>
      <c r="BQ26" s="42"/>
      <c r="BR26" s="42"/>
      <c r="BS26" s="42" t="str">
        <f>IFERROR(IF(VLOOKUP($CJ$7,'2° PERIODO'!$A$7:$BV$36,CG26+1)="","",VLOOKUP($CJ$7,'2° PERIODO'!$A$7:$BV$36,CG26+1)),"")</f>
        <v/>
      </c>
      <c r="BT26" s="42"/>
      <c r="BU26" s="42"/>
      <c r="BV26" s="42"/>
      <c r="BW26" s="42"/>
      <c r="BX26" s="42"/>
      <c r="BY26" s="42"/>
      <c r="BZ26" s="42"/>
      <c r="CA26" s="42"/>
      <c r="CB26" s="42"/>
      <c r="CC26" s="40" t="str" cm="1">
        <f t="array" ref="CC26">IFERROR(_xlfn.XLOOKUP(ROUND(AVERAGE(_xlfn.XLOOKUP(CK26:CN26,{"AD";"A";"B";"C"},{1;2;3;4},"")),0),{1;2;3;4},{"AD";"A";"B";"C"}),"-")</f>
        <v>B</v>
      </c>
      <c r="CD26" s="40"/>
      <c r="CE26" s="40"/>
      <c r="CF26" s="40"/>
      <c r="CG26" s="27">
        <v>27</v>
      </c>
      <c r="CK26" s="22" t="str">
        <f t="shared" si="0"/>
        <v>B</v>
      </c>
      <c r="CL26" s="22" t="str">
        <f t="shared" si="1"/>
        <v>B</v>
      </c>
      <c r="CM26" s="22" t="str">
        <f t="shared" si="2"/>
        <v>A</v>
      </c>
      <c r="CN26" s="22" t="str">
        <f t="shared" si="3"/>
        <v>A</v>
      </c>
    </row>
    <row r="27" spans="1:92" ht="25.15" customHeight="1" x14ac:dyDescent="0.25">
      <c r="A27" s="95"/>
      <c r="B27" s="96"/>
      <c r="C27" s="96"/>
      <c r="D27" s="96"/>
      <c r="E27" s="96"/>
      <c r="F27" s="96"/>
      <c r="G27" s="96"/>
      <c r="H27" s="96"/>
      <c r="I27" s="96"/>
      <c r="J27" s="97"/>
      <c r="K27" s="78" t="s">
        <v>27</v>
      </c>
      <c r="L27" s="78"/>
      <c r="M27" s="78"/>
      <c r="N27" s="78"/>
      <c r="O27" s="78"/>
      <c r="P27" s="78"/>
      <c r="Q27" s="78"/>
      <c r="R27" s="78"/>
      <c r="S27" s="78"/>
      <c r="T27" s="78"/>
      <c r="U27" s="78"/>
      <c r="V27" s="78"/>
      <c r="W27" s="78"/>
      <c r="X27" s="78"/>
      <c r="Y27" s="78"/>
      <c r="Z27" s="78"/>
      <c r="AA27" s="78"/>
      <c r="AB27" s="78"/>
      <c r="AC27" s="42" t="str">
        <f>IFERROR(IF(VLOOKUP($CJ$7,'1° PERIODO'!$A$7:$AT$36,CG27)="","-",VLOOKUP($CJ$7,'1° PERIODO'!$A$7:$AT$36,CG27)),"")</f>
        <v>B</v>
      </c>
      <c r="AD27" s="42"/>
      <c r="AE27" s="42"/>
      <c r="AF27" s="42" t="str">
        <f>IFERROR(IF(VLOOKUP($CJ$7,'1° PERIODO'!$A$7:$AT$36,CG27+1)="","",VLOOKUP($CJ$7,'1° PERIODO'!$A$7:$AT$36,CG27+1)),"")</f>
        <v/>
      </c>
      <c r="AG27" s="42"/>
      <c r="AH27" s="42"/>
      <c r="AI27" s="42"/>
      <c r="AJ27" s="42"/>
      <c r="AK27" s="42"/>
      <c r="AL27" s="42"/>
      <c r="AM27" s="42"/>
      <c r="AN27" s="42"/>
      <c r="AO27" s="42"/>
      <c r="AP27" s="42" t="str">
        <f>IFERROR(IF(VLOOKUP($CJ$7,'2° PERIODO'!$A$7:$BV$36,CG27)="","-",VLOOKUP($CJ$7,'2° PERIODO'!$A$7:$BV$36,CG27)),"")</f>
        <v>B</v>
      </c>
      <c r="AQ27" s="42"/>
      <c r="AR27" s="42"/>
      <c r="AS27" s="42" t="str">
        <f>IFERROR(IF(VLOOKUP($CJ$7,'2° PERIODO'!$A$7:$BV$36,CG27+1)="","",VLOOKUP($CJ$7,'2° PERIODO'!$A$7:$BV$36,CG27+1)),"")</f>
        <v/>
      </c>
      <c r="AT27" s="42"/>
      <c r="AU27" s="42"/>
      <c r="AV27" s="42"/>
      <c r="AW27" s="42"/>
      <c r="AX27" s="42"/>
      <c r="AY27" s="42"/>
      <c r="AZ27" s="42"/>
      <c r="BA27" s="42"/>
      <c r="BB27" s="42"/>
      <c r="BC27" s="42" t="str">
        <f>IFERROR(IF(VLOOKUP($CJ$7,'3° PERIODO'!$A$7:$BV$36,CG27)="","-",VLOOKUP($CJ$7,'3° PERIODO'!$A$7:$BV$36,CG27)),"")</f>
        <v>A</v>
      </c>
      <c r="BD27" s="42"/>
      <c r="BE27" s="42"/>
      <c r="BF27" s="42" t="str">
        <f>IFERROR(IF(VLOOKUP($CJ$7,'3° PERIODO'!$A$7:$BV$36,CG27+1)="","",VLOOKUP($CJ$7,'3° PERIODO'!$A$7:$BV$36,CG27+1)),"")</f>
        <v/>
      </c>
      <c r="BG27" s="42"/>
      <c r="BH27" s="42"/>
      <c r="BI27" s="42"/>
      <c r="BJ27" s="42"/>
      <c r="BK27" s="42"/>
      <c r="BL27" s="42"/>
      <c r="BM27" s="42"/>
      <c r="BN27" s="42"/>
      <c r="BO27" s="42"/>
      <c r="BP27" s="42" t="str">
        <f>IFERROR(IF(VLOOKUP($CJ$7,'4° PERIODO'!$A$7:$BV$36,CG27)="","-",VLOOKUP($CJ$7,'4° PERIODO'!$A$7:$BV$36,CG27)),"")</f>
        <v>A</v>
      </c>
      <c r="BQ27" s="42"/>
      <c r="BR27" s="42"/>
      <c r="BS27" s="42" t="str">
        <f>IFERROR(IF(VLOOKUP($CJ$7,'2° PERIODO'!$A$7:$BV$36,CG27+1)="","",VLOOKUP($CJ$7,'2° PERIODO'!$A$7:$BV$36,CG27+1)),"")</f>
        <v/>
      </c>
      <c r="BT27" s="42"/>
      <c r="BU27" s="42"/>
      <c r="BV27" s="42"/>
      <c r="BW27" s="42"/>
      <c r="BX27" s="42"/>
      <c r="BY27" s="42"/>
      <c r="BZ27" s="42"/>
      <c r="CA27" s="42"/>
      <c r="CB27" s="42"/>
      <c r="CC27" s="40" t="str" cm="1">
        <f t="array" ref="CC27">IFERROR(_xlfn.XLOOKUP(ROUND(AVERAGE(_xlfn.XLOOKUP(CK27:CN27,{"AD";"A";"B";"C"},{1;2;3;4},"")),0),{1;2;3;4},{"AD";"A";"B";"C"}),"-")</f>
        <v>B</v>
      </c>
      <c r="CD27" s="40"/>
      <c r="CE27" s="40"/>
      <c r="CF27" s="40"/>
      <c r="CG27" s="27">
        <v>29</v>
      </c>
      <c r="CK27" s="22" t="str">
        <f t="shared" si="0"/>
        <v>B</v>
      </c>
      <c r="CL27" s="22" t="str">
        <f t="shared" si="1"/>
        <v>B</v>
      </c>
      <c r="CM27" s="22" t="str">
        <f t="shared" si="2"/>
        <v>A</v>
      </c>
      <c r="CN27" s="22" t="str">
        <f t="shared" si="3"/>
        <v>A</v>
      </c>
    </row>
    <row r="28" spans="1:92" ht="25.15" customHeight="1" x14ac:dyDescent="0.25">
      <c r="A28" s="83"/>
      <c r="B28" s="84"/>
      <c r="C28" s="84"/>
      <c r="D28" s="84"/>
      <c r="E28" s="84"/>
      <c r="F28" s="84"/>
      <c r="G28" s="84"/>
      <c r="H28" s="84"/>
      <c r="I28" s="84"/>
      <c r="J28" s="85"/>
      <c r="K28" s="89" t="s">
        <v>56</v>
      </c>
      <c r="L28" s="90"/>
      <c r="M28" s="90"/>
      <c r="N28" s="90"/>
      <c r="O28" s="90"/>
      <c r="P28" s="90"/>
      <c r="Q28" s="90"/>
      <c r="R28" s="90"/>
      <c r="S28" s="90"/>
      <c r="T28" s="90"/>
      <c r="U28" s="90"/>
      <c r="V28" s="90"/>
      <c r="W28" s="90"/>
      <c r="X28" s="90"/>
      <c r="Y28" s="90"/>
      <c r="Z28" s="90"/>
      <c r="AA28" s="90"/>
      <c r="AB28" s="91"/>
      <c r="AC28" s="40" t="str">
        <f>IFERROR(IF(VLOOKUP($CJ$7,'1° PERIODO'!$A$7:$AT$36,CG28)="","-",VLOOKUP($CJ$7,'1° PERIODO'!$A$7:$AT$36,CG28)),"")</f>
        <v>B</v>
      </c>
      <c r="AD28" s="40"/>
      <c r="AE28" s="40"/>
      <c r="AF28" s="40"/>
      <c r="AG28" s="40"/>
      <c r="AH28" s="40"/>
      <c r="AI28" s="40"/>
      <c r="AJ28" s="40"/>
      <c r="AK28" s="40"/>
      <c r="AL28" s="40"/>
      <c r="AM28" s="40"/>
      <c r="AN28" s="40"/>
      <c r="AO28" s="40"/>
      <c r="AP28" s="40" t="str">
        <f>IFERROR(IF(VLOOKUP($CJ$7,'2° PERIODO'!$A$7:$BV$36,CG28)="","-",VLOOKUP($CJ$7,'2° PERIODO'!$A$7:$BV$36,CG28)),"")</f>
        <v>B</v>
      </c>
      <c r="AQ28" s="40"/>
      <c r="AR28" s="40"/>
      <c r="AS28" s="40"/>
      <c r="AT28" s="40"/>
      <c r="AU28" s="40"/>
      <c r="AV28" s="40"/>
      <c r="AW28" s="40"/>
      <c r="AX28" s="40"/>
      <c r="AY28" s="40"/>
      <c r="AZ28" s="40"/>
      <c r="BA28" s="40"/>
      <c r="BB28" s="40"/>
      <c r="BC28" s="40" t="str">
        <f>IFERROR(IF(VLOOKUP($CJ$7,'3° PERIODO'!$A$7:$BV$36,CG28)="","-",VLOOKUP($CJ$7,'3° PERIODO'!$A$7:$BV$36,CG28)),"")</f>
        <v>A</v>
      </c>
      <c r="BD28" s="40"/>
      <c r="BE28" s="40"/>
      <c r="BF28" s="40"/>
      <c r="BG28" s="40"/>
      <c r="BH28" s="40"/>
      <c r="BI28" s="40"/>
      <c r="BJ28" s="40"/>
      <c r="BK28" s="40"/>
      <c r="BL28" s="40"/>
      <c r="BM28" s="40"/>
      <c r="BN28" s="40"/>
      <c r="BO28" s="40"/>
      <c r="BP28" s="40" t="str">
        <f>IFERROR(IF(VLOOKUP($CJ$7,'4° PERIODO'!$A$7:$BV$36,CG28)="","-",VLOOKUP($CJ$7,'4° PERIODO'!$A$7:$BV$36,CG28)),"")</f>
        <v>A</v>
      </c>
      <c r="BQ28" s="40"/>
      <c r="BR28" s="40"/>
      <c r="BS28" s="40"/>
      <c r="BT28" s="40"/>
      <c r="BU28" s="40"/>
      <c r="BV28" s="40"/>
      <c r="BW28" s="40"/>
      <c r="BX28" s="40"/>
      <c r="BY28" s="40"/>
      <c r="BZ28" s="40"/>
      <c r="CA28" s="40"/>
      <c r="CB28" s="40"/>
      <c r="CC28" s="40" t="str" cm="1">
        <f t="array" ref="CC28">IFERROR(_xlfn.XLOOKUP(ROUND(AVERAGE(_xlfn.XLOOKUP(CK28:CN28,{"AD";"A";"B";"C"},{1;2;3;4},"")),0),{1;2;3;4},{"AD";"A";"B";"C"}),"-")</f>
        <v>B</v>
      </c>
      <c r="CD28" s="40"/>
      <c r="CE28" s="40"/>
      <c r="CF28" s="40"/>
      <c r="CG28" s="27">
        <v>31</v>
      </c>
      <c r="CK28" s="22" t="str">
        <f t="shared" si="0"/>
        <v>B</v>
      </c>
      <c r="CL28" s="22" t="str">
        <f t="shared" si="1"/>
        <v>B</v>
      </c>
      <c r="CM28" s="22" t="str">
        <f t="shared" si="2"/>
        <v>A</v>
      </c>
      <c r="CN28" s="22" t="str">
        <f t="shared" si="3"/>
        <v>A</v>
      </c>
    </row>
    <row r="29" spans="1:92" ht="25.15" customHeight="1" x14ac:dyDescent="0.25">
      <c r="A29" s="80" t="s">
        <v>28</v>
      </c>
      <c r="B29" s="81"/>
      <c r="C29" s="81"/>
      <c r="D29" s="81"/>
      <c r="E29" s="81"/>
      <c r="F29" s="81"/>
      <c r="G29" s="81"/>
      <c r="H29" s="81"/>
      <c r="I29" s="81"/>
      <c r="J29" s="82"/>
      <c r="K29" s="78" t="s">
        <v>62</v>
      </c>
      <c r="L29" s="78"/>
      <c r="M29" s="78"/>
      <c r="N29" s="78"/>
      <c r="O29" s="78"/>
      <c r="P29" s="78"/>
      <c r="Q29" s="78"/>
      <c r="R29" s="78"/>
      <c r="S29" s="78"/>
      <c r="T29" s="78"/>
      <c r="U29" s="78"/>
      <c r="V29" s="78"/>
      <c r="W29" s="78"/>
      <c r="X29" s="78"/>
      <c r="Y29" s="78"/>
      <c r="Z29" s="78"/>
      <c r="AA29" s="78"/>
      <c r="AB29" s="78"/>
      <c r="AC29" s="42" t="str">
        <f>IFERROR(IF(VLOOKUP($CJ$7,'1° PERIODO'!$A$7:$AT$36,CG29)="","-",VLOOKUP($CJ$7,'1° PERIODO'!$A$7:$AT$36,CG29)),"")</f>
        <v>B</v>
      </c>
      <c r="AD29" s="42"/>
      <c r="AE29" s="42"/>
      <c r="AF29" s="42" t="str">
        <f>IFERROR(IF(VLOOKUP($CJ$7,'1° PERIODO'!$A$7:$AT$36,CG29+1)="","",VLOOKUP($CJ$7,'1° PERIODO'!$A$7:$AT$36,CG29+1)),"")</f>
        <v/>
      </c>
      <c r="AG29" s="42"/>
      <c r="AH29" s="42"/>
      <c r="AI29" s="42"/>
      <c r="AJ29" s="42"/>
      <c r="AK29" s="42"/>
      <c r="AL29" s="42"/>
      <c r="AM29" s="42"/>
      <c r="AN29" s="42"/>
      <c r="AO29" s="42"/>
      <c r="AP29" s="42" t="str">
        <f>IFERROR(IF(VLOOKUP($CJ$7,'2° PERIODO'!$A$7:$BV$36,CG29)="","-",VLOOKUP($CJ$7,'2° PERIODO'!$A$7:$BV$36,CG29)),"")</f>
        <v>B</v>
      </c>
      <c r="AQ29" s="42"/>
      <c r="AR29" s="42"/>
      <c r="AS29" s="42" t="str">
        <f>IFERROR(IF(VLOOKUP($CJ$7,'2° PERIODO'!$A$7:$BV$36,CG29+1)="","",VLOOKUP($CJ$7,'2° PERIODO'!$A$7:$BV$36,CG29+1)),"")</f>
        <v/>
      </c>
      <c r="AT29" s="42"/>
      <c r="AU29" s="42"/>
      <c r="AV29" s="42"/>
      <c r="AW29" s="42"/>
      <c r="AX29" s="42"/>
      <c r="AY29" s="42"/>
      <c r="AZ29" s="42"/>
      <c r="BA29" s="42"/>
      <c r="BB29" s="42"/>
      <c r="BC29" s="42" t="str">
        <f>IFERROR(IF(VLOOKUP($CJ$7,'3° PERIODO'!$A$7:$BV$36,CG29)="","-",VLOOKUP($CJ$7,'3° PERIODO'!$A$7:$BV$36,CG29)),"")</f>
        <v>A</v>
      </c>
      <c r="BD29" s="42"/>
      <c r="BE29" s="42"/>
      <c r="BF29" s="42" t="str">
        <f>IFERROR(IF(VLOOKUP($CJ$7,'3° PERIODO'!$A$7:$BV$36,CG29+1)="","",VLOOKUP($CJ$7,'3° PERIODO'!$A$7:$BV$36,CG29+1)),"")</f>
        <v/>
      </c>
      <c r="BG29" s="42"/>
      <c r="BH29" s="42"/>
      <c r="BI29" s="42"/>
      <c r="BJ29" s="42"/>
      <c r="BK29" s="42"/>
      <c r="BL29" s="42"/>
      <c r="BM29" s="42"/>
      <c r="BN29" s="42"/>
      <c r="BO29" s="42"/>
      <c r="BP29" s="42" t="str">
        <f>IFERROR(IF(VLOOKUP($CJ$7,'4° PERIODO'!$A$7:$BV$36,CG29)="","-",VLOOKUP($CJ$7,'4° PERIODO'!$A$7:$BV$36,CG29)),"")</f>
        <v>A</v>
      </c>
      <c r="BQ29" s="42"/>
      <c r="BR29" s="42"/>
      <c r="BS29" s="42" t="str">
        <f>IFERROR(IF(VLOOKUP($CJ$7,'2° PERIODO'!$A$7:$BV$36,CG29+1)="","",VLOOKUP($CJ$7,'2° PERIODO'!$A$7:$BV$36,CG29+1)),"")</f>
        <v/>
      </c>
      <c r="BT29" s="42"/>
      <c r="BU29" s="42"/>
      <c r="BV29" s="42"/>
      <c r="BW29" s="42"/>
      <c r="BX29" s="42"/>
      <c r="BY29" s="42"/>
      <c r="BZ29" s="42"/>
      <c r="CA29" s="42"/>
      <c r="CB29" s="42"/>
      <c r="CC29" s="40" t="str" cm="1">
        <f t="array" ref="CC29">IFERROR(_xlfn.XLOOKUP(ROUND(AVERAGE(_xlfn.XLOOKUP(CK29:CN29,{"AD";"A";"B";"C"},{1;2;3;4},"")),0),{1;2;3;4},{"AD";"A";"B";"C"}),"-")</f>
        <v>B</v>
      </c>
      <c r="CD29" s="40"/>
      <c r="CE29" s="40"/>
      <c r="CF29" s="40"/>
      <c r="CG29" s="27">
        <v>32</v>
      </c>
      <c r="CK29" s="22" t="str">
        <f t="shared" si="0"/>
        <v>B</v>
      </c>
      <c r="CL29" s="22" t="str">
        <f t="shared" si="1"/>
        <v>B</v>
      </c>
      <c r="CM29" s="22" t="str">
        <f t="shared" si="2"/>
        <v>A</v>
      </c>
      <c r="CN29" s="22" t="str">
        <f t="shared" si="3"/>
        <v>A</v>
      </c>
    </row>
    <row r="30" spans="1:92" ht="25.15" customHeight="1" x14ac:dyDescent="0.25">
      <c r="A30" s="83"/>
      <c r="B30" s="84"/>
      <c r="C30" s="84"/>
      <c r="D30" s="84"/>
      <c r="E30" s="84"/>
      <c r="F30" s="84"/>
      <c r="G30" s="84"/>
      <c r="H30" s="84"/>
      <c r="I30" s="84"/>
      <c r="J30" s="85"/>
      <c r="K30" s="89" t="s">
        <v>56</v>
      </c>
      <c r="L30" s="90"/>
      <c r="M30" s="90"/>
      <c r="N30" s="90"/>
      <c r="O30" s="90"/>
      <c r="P30" s="90"/>
      <c r="Q30" s="90"/>
      <c r="R30" s="90"/>
      <c r="S30" s="90"/>
      <c r="T30" s="90"/>
      <c r="U30" s="90"/>
      <c r="V30" s="90"/>
      <c r="W30" s="90"/>
      <c r="X30" s="90"/>
      <c r="Y30" s="90"/>
      <c r="Z30" s="90"/>
      <c r="AA30" s="90"/>
      <c r="AB30" s="91"/>
      <c r="AC30" s="40" t="str">
        <f>IFERROR(IF(VLOOKUP($CJ$7,'1° PERIODO'!$A$7:$AT$36,CG30)="","-",VLOOKUP($CJ$7,'1° PERIODO'!$A$7:$AT$36,CG30)),"")</f>
        <v>B</v>
      </c>
      <c r="AD30" s="40"/>
      <c r="AE30" s="40"/>
      <c r="AF30" s="40"/>
      <c r="AG30" s="40"/>
      <c r="AH30" s="40"/>
      <c r="AI30" s="40"/>
      <c r="AJ30" s="40"/>
      <c r="AK30" s="40"/>
      <c r="AL30" s="40"/>
      <c r="AM30" s="40"/>
      <c r="AN30" s="40"/>
      <c r="AO30" s="40"/>
      <c r="AP30" s="40" t="str">
        <f>IFERROR(IF(VLOOKUP($CJ$7,'2° PERIODO'!$A$7:$BV$36,CG30)="","-",VLOOKUP($CJ$7,'2° PERIODO'!$A$7:$BV$36,CG30)),"")</f>
        <v>B</v>
      </c>
      <c r="AQ30" s="40"/>
      <c r="AR30" s="40"/>
      <c r="AS30" s="40"/>
      <c r="AT30" s="40"/>
      <c r="AU30" s="40"/>
      <c r="AV30" s="40"/>
      <c r="AW30" s="40"/>
      <c r="AX30" s="40"/>
      <c r="AY30" s="40"/>
      <c r="AZ30" s="40"/>
      <c r="BA30" s="40"/>
      <c r="BB30" s="40"/>
      <c r="BC30" s="40" t="str">
        <f>IFERROR(IF(VLOOKUP($CJ$7,'3° PERIODO'!$A$7:$BV$36,CG30)="","-",VLOOKUP($CJ$7,'3° PERIODO'!$A$7:$BV$36,CG30)),"")</f>
        <v>A</v>
      </c>
      <c r="BD30" s="40"/>
      <c r="BE30" s="40"/>
      <c r="BF30" s="40"/>
      <c r="BG30" s="40"/>
      <c r="BH30" s="40"/>
      <c r="BI30" s="40"/>
      <c r="BJ30" s="40"/>
      <c r="BK30" s="40"/>
      <c r="BL30" s="40"/>
      <c r="BM30" s="40"/>
      <c r="BN30" s="40"/>
      <c r="BO30" s="40"/>
      <c r="BP30" s="40" t="str">
        <f>IFERROR(IF(VLOOKUP($CJ$7,'4° PERIODO'!$A$7:$BV$36,CG30)="","-",VLOOKUP($CJ$7,'4° PERIODO'!$A$7:$BV$36,CG30)),"")</f>
        <v>A</v>
      </c>
      <c r="BQ30" s="40"/>
      <c r="BR30" s="40"/>
      <c r="BS30" s="40"/>
      <c r="BT30" s="40"/>
      <c r="BU30" s="40"/>
      <c r="BV30" s="40"/>
      <c r="BW30" s="40"/>
      <c r="BX30" s="40"/>
      <c r="BY30" s="40"/>
      <c r="BZ30" s="40"/>
      <c r="CA30" s="40"/>
      <c r="CB30" s="40"/>
      <c r="CC30" s="40" t="str" cm="1">
        <f t="array" ref="CC30">IFERROR(_xlfn.XLOOKUP(ROUND(AVERAGE(_xlfn.XLOOKUP(CK30:CN30,{"AD";"A";"B";"C"},{1;2;3;4},"")),0),{1;2;3;4},{"AD";"A";"B";"C"}),"-")</f>
        <v>B</v>
      </c>
      <c r="CD30" s="40"/>
      <c r="CE30" s="40"/>
      <c r="CF30" s="40"/>
      <c r="CG30" s="27">
        <v>34</v>
      </c>
      <c r="CK30" s="22" t="str">
        <f t="shared" si="0"/>
        <v>B</v>
      </c>
      <c r="CL30" s="22" t="str">
        <f t="shared" si="1"/>
        <v>B</v>
      </c>
      <c r="CM30" s="22" t="str">
        <f t="shared" si="2"/>
        <v>A</v>
      </c>
      <c r="CN30" s="22" t="str">
        <f t="shared" si="3"/>
        <v>A</v>
      </c>
    </row>
    <row r="31" spans="1:92" ht="25.15" customHeight="1" x14ac:dyDescent="0.25">
      <c r="A31" s="80" t="s">
        <v>29</v>
      </c>
      <c r="B31" s="81"/>
      <c r="C31" s="81"/>
      <c r="D31" s="81"/>
      <c r="E31" s="81"/>
      <c r="F31" s="81"/>
      <c r="G31" s="81"/>
      <c r="H31" s="81"/>
      <c r="I31" s="81"/>
      <c r="J31" s="82"/>
      <c r="K31" s="92" t="s">
        <v>63</v>
      </c>
      <c r="L31" s="93"/>
      <c r="M31" s="93"/>
      <c r="N31" s="93"/>
      <c r="O31" s="93"/>
      <c r="P31" s="93"/>
      <c r="Q31" s="93"/>
      <c r="R31" s="93"/>
      <c r="S31" s="93"/>
      <c r="T31" s="93"/>
      <c r="U31" s="93"/>
      <c r="V31" s="93"/>
      <c r="W31" s="93"/>
      <c r="X31" s="93"/>
      <c r="Y31" s="93"/>
      <c r="Z31" s="93"/>
      <c r="AA31" s="93"/>
      <c r="AB31" s="94"/>
      <c r="AC31" s="40" t="str">
        <f>IFERROR(IF(VLOOKUP($CJ$7,'1° PERIODO'!$A$7:$AT$36,CG31)="","-",VLOOKUP($CJ$7,'1° PERIODO'!$A$7:$AT$36,CG31)),"")</f>
        <v>-</v>
      </c>
      <c r="AD31" s="40"/>
      <c r="AE31" s="40"/>
      <c r="AF31" s="40" t="str">
        <f>IFERROR(IF(VLOOKUP($CJ$7,'1° PERIODO'!$A$7:$AT$36,CG31+1)="","",VLOOKUP($CJ$7,'1° PERIODO'!$A$7:$AT$36,CG31+1)),"")</f>
        <v/>
      </c>
      <c r="AG31" s="40"/>
      <c r="AH31" s="40"/>
      <c r="AI31" s="40"/>
      <c r="AJ31" s="40"/>
      <c r="AK31" s="40"/>
      <c r="AL31" s="40"/>
      <c r="AM31" s="40"/>
      <c r="AN31" s="40"/>
      <c r="AO31" s="40"/>
      <c r="AP31" s="40" t="str">
        <f>IFERROR(IF(VLOOKUP($CJ$7,'2° PERIODO'!$A$7:$BV$36,CG31)="","-",VLOOKUP($CJ$7,'2° PERIODO'!$A$7:$BV$36,CG31)),"")</f>
        <v>-</v>
      </c>
      <c r="AQ31" s="40"/>
      <c r="AR31" s="40"/>
      <c r="AS31" s="40" t="str">
        <f>IFERROR(IF(VLOOKUP($CJ$7,'2° PERIODO'!$A$7:$BV$36,CG31+1)="","",VLOOKUP($CJ$7,'2° PERIODO'!$A$7:$BV$36,CG31+1)),"")</f>
        <v/>
      </c>
      <c r="AT31" s="40"/>
      <c r="AU31" s="40"/>
      <c r="AV31" s="40"/>
      <c r="AW31" s="40"/>
      <c r="AX31" s="40"/>
      <c r="AY31" s="40"/>
      <c r="AZ31" s="40"/>
      <c r="BA31" s="40"/>
      <c r="BB31" s="40"/>
      <c r="BC31" s="40" t="str">
        <f>IFERROR(IF(VLOOKUP($CJ$7,'3° PERIODO'!$A$7:$BV$36,CG31)="","-",VLOOKUP($CJ$7,'3° PERIODO'!$A$7:$BV$36,CG31)),"")</f>
        <v>-</v>
      </c>
      <c r="BD31" s="40"/>
      <c r="BE31" s="40"/>
      <c r="BF31" s="40" t="str">
        <f>IFERROR(IF(VLOOKUP($CJ$7,'3° PERIODO'!$A$7:$BV$36,CG31+1)="","",VLOOKUP($CJ$7,'3° PERIODO'!$A$7:$BV$36,CG31+1)),"")</f>
        <v/>
      </c>
      <c r="BG31" s="40"/>
      <c r="BH31" s="40"/>
      <c r="BI31" s="40"/>
      <c r="BJ31" s="40"/>
      <c r="BK31" s="40"/>
      <c r="BL31" s="40"/>
      <c r="BM31" s="40"/>
      <c r="BN31" s="40"/>
      <c r="BO31" s="40"/>
      <c r="BP31" s="40" t="str">
        <f>IFERROR(IF(VLOOKUP($CJ$7,'4° PERIODO'!$A$7:$BV$36,CG31)="","-",VLOOKUP($CJ$7,'4° PERIODO'!$A$7:$BV$36,CG31)),"")</f>
        <v>-</v>
      </c>
      <c r="BQ31" s="40"/>
      <c r="BR31" s="40"/>
      <c r="BS31" s="40" t="str">
        <f>IFERROR(IF(VLOOKUP($CJ$7,'2° PERIODO'!$A$7:$BV$36,CG31+1)="","",VLOOKUP($CJ$7,'2° PERIODO'!$A$7:$BV$36,CG31+1)),"")</f>
        <v/>
      </c>
      <c r="BT31" s="40"/>
      <c r="BU31" s="40"/>
      <c r="BV31" s="40"/>
      <c r="BW31" s="40"/>
      <c r="BX31" s="40"/>
      <c r="BY31" s="40"/>
      <c r="BZ31" s="40"/>
      <c r="CA31" s="40"/>
      <c r="CB31" s="40"/>
      <c r="CC31" s="40" t="str" cm="1">
        <f t="array" ref="CC31">IFERROR(_xlfn.XLOOKUP(ROUND(AVERAGE(_xlfn.XLOOKUP(CK31:CN31,{"AD";"A";"B";"C"},{1;2;3;4},"")),0),{1;2;3;4},{"AD";"A";"B";"C"}),"-")</f>
        <v>-</v>
      </c>
      <c r="CD31" s="40"/>
      <c r="CE31" s="40"/>
      <c r="CF31" s="40"/>
      <c r="CG31" s="27">
        <v>35</v>
      </c>
      <c r="CK31" s="22" t="str">
        <f t="shared" si="0"/>
        <v>-</v>
      </c>
      <c r="CL31" s="22" t="str">
        <f t="shared" si="1"/>
        <v>-</v>
      </c>
      <c r="CM31" s="22" t="str">
        <f t="shared" si="2"/>
        <v>-</v>
      </c>
      <c r="CN31" s="22" t="str">
        <f t="shared" si="3"/>
        <v>-</v>
      </c>
    </row>
    <row r="32" spans="1:92" ht="25.15" customHeight="1" x14ac:dyDescent="0.25">
      <c r="A32" s="83"/>
      <c r="B32" s="84"/>
      <c r="C32" s="84"/>
      <c r="D32" s="84"/>
      <c r="E32" s="84"/>
      <c r="F32" s="84"/>
      <c r="G32" s="84"/>
      <c r="H32" s="84"/>
      <c r="I32" s="84"/>
      <c r="J32" s="85"/>
      <c r="K32" s="92" t="s">
        <v>30</v>
      </c>
      <c r="L32" s="93"/>
      <c r="M32" s="93"/>
      <c r="N32" s="93"/>
      <c r="O32" s="93"/>
      <c r="P32" s="93"/>
      <c r="Q32" s="93"/>
      <c r="R32" s="93"/>
      <c r="S32" s="93"/>
      <c r="T32" s="93"/>
      <c r="U32" s="93"/>
      <c r="V32" s="93"/>
      <c r="W32" s="93"/>
      <c r="X32" s="93"/>
      <c r="Y32" s="93"/>
      <c r="Z32" s="93"/>
      <c r="AA32" s="93"/>
      <c r="AB32" s="94"/>
      <c r="AC32" s="40" t="str">
        <f>IFERROR(IF(VLOOKUP($CJ$7,'1° PERIODO'!$A$7:$AT$36,CG32)="","-",VLOOKUP($CJ$7,'1° PERIODO'!$A$7:$AT$36,CG32)),"")</f>
        <v>-</v>
      </c>
      <c r="AD32" s="40"/>
      <c r="AE32" s="40"/>
      <c r="AF32" s="40" t="str">
        <f>IFERROR(IF(VLOOKUP($CJ$7,'1° PERIODO'!$A$7:$AT$36,CG32+1)="","",VLOOKUP($CJ$7,'1° PERIODO'!$A$7:$AT$36,CG32+1)),"")</f>
        <v/>
      </c>
      <c r="AG32" s="40"/>
      <c r="AH32" s="40"/>
      <c r="AI32" s="40"/>
      <c r="AJ32" s="40"/>
      <c r="AK32" s="40"/>
      <c r="AL32" s="40"/>
      <c r="AM32" s="40"/>
      <c r="AN32" s="40"/>
      <c r="AO32" s="40"/>
      <c r="AP32" s="40" t="str">
        <f>IFERROR(IF(VLOOKUP($CJ$7,'2° PERIODO'!$A$7:$BV$36,CG32)="","-",VLOOKUP($CJ$7,'2° PERIODO'!$A$7:$BV$36,CG32)),"")</f>
        <v>-</v>
      </c>
      <c r="AQ32" s="40"/>
      <c r="AR32" s="40"/>
      <c r="AS32" s="40" t="str">
        <f>IFERROR(IF(VLOOKUP($CJ$7,'2° PERIODO'!$A$7:$BV$36,CG32+1)="","",VLOOKUP($CJ$7,'2° PERIODO'!$A$7:$BV$36,CG32+1)),"")</f>
        <v/>
      </c>
      <c r="AT32" s="40"/>
      <c r="AU32" s="40"/>
      <c r="AV32" s="40"/>
      <c r="AW32" s="40"/>
      <c r="AX32" s="40"/>
      <c r="AY32" s="40"/>
      <c r="AZ32" s="40"/>
      <c r="BA32" s="40"/>
      <c r="BB32" s="40"/>
      <c r="BC32" s="40" t="str">
        <f>IFERROR(IF(VLOOKUP($CJ$7,'3° PERIODO'!$A$7:$BV$36,CG32)="","-",VLOOKUP($CJ$7,'3° PERIODO'!$A$7:$BV$36,CG32)),"")</f>
        <v>-</v>
      </c>
      <c r="BD32" s="40"/>
      <c r="BE32" s="40"/>
      <c r="BF32" s="40" t="str">
        <f>IFERROR(IF(VLOOKUP($CJ$7,'3° PERIODO'!$A$7:$BV$36,CG32+1)="","",VLOOKUP($CJ$7,'3° PERIODO'!$A$7:$BV$36,CG32+1)),"")</f>
        <v/>
      </c>
      <c r="BG32" s="40"/>
      <c r="BH32" s="40"/>
      <c r="BI32" s="40"/>
      <c r="BJ32" s="40"/>
      <c r="BK32" s="40"/>
      <c r="BL32" s="40"/>
      <c r="BM32" s="40"/>
      <c r="BN32" s="40"/>
      <c r="BO32" s="40"/>
      <c r="BP32" s="40" t="str">
        <f>IFERROR(IF(VLOOKUP($CJ$7,'4° PERIODO'!$A$7:$BV$36,CG32)="","-",VLOOKUP($CJ$7,'4° PERIODO'!$A$7:$BV$36,CG32)),"")</f>
        <v>-</v>
      </c>
      <c r="BQ32" s="40"/>
      <c r="BR32" s="40"/>
      <c r="BS32" s="40" t="str">
        <f>IFERROR(IF(VLOOKUP($CJ$7,'2° PERIODO'!$A$7:$BV$36,CG32+1)="","",VLOOKUP($CJ$7,'2° PERIODO'!$A$7:$BV$36,CG32+1)),"")</f>
        <v/>
      </c>
      <c r="BT32" s="40"/>
      <c r="BU32" s="40"/>
      <c r="BV32" s="40"/>
      <c r="BW32" s="40"/>
      <c r="BX32" s="40"/>
      <c r="BY32" s="40"/>
      <c r="BZ32" s="40"/>
      <c r="CA32" s="40"/>
      <c r="CB32" s="40"/>
      <c r="CC32" s="40" t="str" cm="1">
        <f t="array" ref="CC32">IFERROR(_xlfn.XLOOKUP(ROUND(AVERAGE(_xlfn.XLOOKUP(CK32:CN32,{"AD";"A";"B";"C"},{1;2;3;4},"")),0),{1;2;3;4},{"AD";"A";"B";"C"}),"-")</f>
        <v>-</v>
      </c>
      <c r="CD32" s="40"/>
      <c r="CE32" s="40"/>
      <c r="CF32" s="40"/>
      <c r="CG32" s="27">
        <v>37</v>
      </c>
      <c r="CK32" s="22" t="str">
        <f t="shared" si="0"/>
        <v>-</v>
      </c>
      <c r="CL32" s="22" t="str">
        <f t="shared" si="1"/>
        <v>-</v>
      </c>
      <c r="CM32" s="22" t="str">
        <f t="shared" si="2"/>
        <v>-</v>
      </c>
      <c r="CN32" s="22" t="str">
        <f t="shared" si="3"/>
        <v>-</v>
      </c>
    </row>
    <row r="33" spans="1:92" ht="25.15" customHeight="1" x14ac:dyDescent="0.25">
      <c r="A33" s="86" t="s">
        <v>31</v>
      </c>
      <c r="B33" s="87"/>
      <c r="C33" s="87"/>
      <c r="D33" s="87"/>
      <c r="E33" s="87"/>
      <c r="F33" s="87"/>
      <c r="G33" s="87"/>
      <c r="H33" s="87"/>
      <c r="I33" s="87"/>
      <c r="J33" s="88"/>
      <c r="K33" s="89" t="s">
        <v>56</v>
      </c>
      <c r="L33" s="90"/>
      <c r="M33" s="90"/>
      <c r="N33" s="90"/>
      <c r="O33" s="90"/>
      <c r="P33" s="90"/>
      <c r="Q33" s="90"/>
      <c r="R33" s="90"/>
      <c r="S33" s="90"/>
      <c r="T33" s="90"/>
      <c r="U33" s="90"/>
      <c r="V33" s="90"/>
      <c r="W33" s="90"/>
      <c r="X33" s="90"/>
      <c r="Y33" s="90"/>
      <c r="Z33" s="90"/>
      <c r="AA33" s="90"/>
      <c r="AB33" s="91"/>
      <c r="AC33" s="40" t="str">
        <f>IFERROR(IF(VLOOKUP($CJ$7,'1° PERIODO'!$A$7:$AT$36,CG33)="","-",VLOOKUP($CJ$7,'1° PERIODO'!$A$7:$AT$36,CG33)),"")</f>
        <v>-</v>
      </c>
      <c r="AD33" s="40"/>
      <c r="AE33" s="40"/>
      <c r="AF33" s="40"/>
      <c r="AG33" s="40"/>
      <c r="AH33" s="40"/>
      <c r="AI33" s="40"/>
      <c r="AJ33" s="40"/>
      <c r="AK33" s="40"/>
      <c r="AL33" s="40"/>
      <c r="AM33" s="40"/>
      <c r="AN33" s="40"/>
      <c r="AO33" s="40"/>
      <c r="AP33" s="40" t="str">
        <f>IFERROR(IF(VLOOKUP($CJ$7,'2° PERIODO'!$A$7:$BV$36,CG33)="","-",VLOOKUP($CJ$7,'2° PERIODO'!$A$7:$BV$36,CG33)),"")</f>
        <v>-</v>
      </c>
      <c r="AQ33" s="40"/>
      <c r="AR33" s="40"/>
      <c r="AS33" s="40"/>
      <c r="AT33" s="40"/>
      <c r="AU33" s="40"/>
      <c r="AV33" s="40"/>
      <c r="AW33" s="40"/>
      <c r="AX33" s="40"/>
      <c r="AY33" s="40"/>
      <c r="AZ33" s="40"/>
      <c r="BA33" s="40"/>
      <c r="BB33" s="40"/>
      <c r="BC33" s="40" t="str">
        <f>IFERROR(IF(VLOOKUP($CJ$7,'3° PERIODO'!$A$7:$BV$36,CG33)="","-",VLOOKUP($CJ$7,'3° PERIODO'!$A$7:$BV$36,CG33)),"")</f>
        <v>-</v>
      </c>
      <c r="BD33" s="40"/>
      <c r="BE33" s="40"/>
      <c r="BF33" s="40"/>
      <c r="BG33" s="40"/>
      <c r="BH33" s="40"/>
      <c r="BI33" s="40"/>
      <c r="BJ33" s="40"/>
      <c r="BK33" s="40"/>
      <c r="BL33" s="40"/>
      <c r="BM33" s="40"/>
      <c r="BN33" s="40"/>
      <c r="BO33" s="40"/>
      <c r="BP33" s="40" t="str">
        <f>IFERROR(IF(VLOOKUP($CJ$7,'4° PERIODO'!$A$7:$BV$36,CG33)="","-",VLOOKUP($CJ$7,'4° PERIODO'!$A$7:$BV$36,CG33)),"")</f>
        <v>-</v>
      </c>
      <c r="BQ33" s="40"/>
      <c r="BR33" s="40"/>
      <c r="BS33" s="40"/>
      <c r="BT33" s="40"/>
      <c r="BU33" s="40"/>
      <c r="BV33" s="40"/>
      <c r="BW33" s="40"/>
      <c r="BX33" s="40"/>
      <c r="BY33" s="40"/>
      <c r="BZ33" s="40"/>
      <c r="CA33" s="40"/>
      <c r="CB33" s="40"/>
      <c r="CC33" s="40" t="str" cm="1">
        <f t="array" ref="CC33">IFERROR(_xlfn.XLOOKUP(ROUND(AVERAGE(_xlfn.XLOOKUP(CK33:CN33,{"AD";"A";"B";"C"},{1;2;3;4},"")),0),{1;2;3;4},{"AD";"A";"B";"C"}),"-")</f>
        <v>-</v>
      </c>
      <c r="CD33" s="40"/>
      <c r="CE33" s="40"/>
      <c r="CF33" s="40"/>
      <c r="CG33" s="27">
        <v>39</v>
      </c>
      <c r="CK33" s="22" t="str">
        <f t="shared" si="0"/>
        <v>-</v>
      </c>
      <c r="CL33" s="22" t="str">
        <f t="shared" si="1"/>
        <v>-</v>
      </c>
      <c r="CM33" s="22" t="str">
        <f t="shared" si="2"/>
        <v>-</v>
      </c>
      <c r="CN33" s="22" t="str">
        <f t="shared" si="3"/>
        <v>-</v>
      </c>
    </row>
    <row r="35" spans="1:92" x14ac:dyDescent="0.25">
      <c r="AD35" s="43" t="s">
        <v>49</v>
      </c>
      <c r="AE35" s="43"/>
      <c r="AF35" s="43"/>
      <c r="AG35" s="43"/>
      <c r="AH35" s="43"/>
      <c r="AI35" s="42" t="s">
        <v>50</v>
      </c>
      <c r="AJ35" s="42"/>
      <c r="AK35" s="42"/>
      <c r="AL35" s="42"/>
      <c r="AM35" s="42"/>
      <c r="AN35" s="42"/>
      <c r="AO35" s="42"/>
      <c r="AP35" s="42"/>
      <c r="AQ35" s="42"/>
      <c r="AR35" s="42"/>
      <c r="AS35" s="42"/>
      <c r="AT35" s="42"/>
      <c r="AU35" s="42"/>
      <c r="AV35" s="42"/>
      <c r="AW35" s="42"/>
      <c r="AX35" s="42"/>
      <c r="AY35" s="42"/>
      <c r="AZ35" s="42"/>
      <c r="BA35" s="42"/>
      <c r="BB35" s="42"/>
      <c r="BC35" s="42"/>
    </row>
    <row r="36" spans="1:92" x14ac:dyDescent="0.25">
      <c r="AD36" s="43" t="s">
        <v>9</v>
      </c>
      <c r="AE36" s="43"/>
      <c r="AF36" s="43"/>
      <c r="AG36" s="43"/>
      <c r="AH36" s="43"/>
      <c r="AI36" s="42" t="s">
        <v>51</v>
      </c>
      <c r="AJ36" s="42"/>
      <c r="AK36" s="42"/>
      <c r="AL36" s="42"/>
      <c r="AM36" s="42"/>
      <c r="AN36" s="42"/>
      <c r="AO36" s="42"/>
      <c r="AP36" s="42"/>
      <c r="AQ36" s="42"/>
      <c r="AR36" s="42"/>
      <c r="AS36" s="42"/>
      <c r="AT36" s="42"/>
      <c r="AU36" s="42"/>
      <c r="AV36" s="42"/>
      <c r="AW36" s="42"/>
      <c r="AX36" s="42"/>
      <c r="AY36" s="42"/>
      <c r="AZ36" s="42"/>
      <c r="BA36" s="42"/>
      <c r="BB36" s="42"/>
      <c r="BC36" s="42"/>
    </row>
    <row r="37" spans="1:92" x14ac:dyDescent="0.25">
      <c r="AD37" s="43" t="s">
        <v>52</v>
      </c>
      <c r="AE37" s="43"/>
      <c r="AF37" s="43"/>
      <c r="AG37" s="43"/>
      <c r="AH37" s="43"/>
      <c r="AI37" s="42" t="s">
        <v>53</v>
      </c>
      <c r="AJ37" s="42"/>
      <c r="AK37" s="42"/>
      <c r="AL37" s="42"/>
      <c r="AM37" s="42"/>
      <c r="AN37" s="42"/>
      <c r="AO37" s="42"/>
      <c r="AP37" s="42"/>
      <c r="AQ37" s="42"/>
      <c r="AR37" s="42"/>
      <c r="AS37" s="42"/>
      <c r="AT37" s="42"/>
      <c r="AU37" s="42"/>
      <c r="AV37" s="42"/>
      <c r="AW37" s="42"/>
      <c r="AX37" s="42"/>
      <c r="AY37" s="42"/>
      <c r="AZ37" s="42"/>
      <c r="BA37" s="42"/>
      <c r="BB37" s="42"/>
      <c r="BC37" s="42"/>
    </row>
    <row r="38" spans="1:92" x14ac:dyDescent="0.25">
      <c r="AD38" s="43" t="s">
        <v>39</v>
      </c>
      <c r="AE38" s="43"/>
      <c r="AF38" s="43"/>
      <c r="AG38" s="43"/>
      <c r="AH38" s="43"/>
      <c r="AI38" s="42" t="s">
        <v>54</v>
      </c>
      <c r="AJ38" s="42"/>
      <c r="AK38" s="42"/>
      <c r="AL38" s="42"/>
      <c r="AM38" s="42"/>
      <c r="AN38" s="42"/>
      <c r="AO38" s="42"/>
      <c r="AP38" s="42"/>
      <c r="AQ38" s="42"/>
      <c r="AR38" s="42"/>
      <c r="AS38" s="42"/>
      <c r="AT38" s="42"/>
      <c r="AU38" s="42"/>
      <c r="AV38" s="42"/>
      <c r="AW38" s="42"/>
      <c r="AX38" s="42"/>
      <c r="AY38" s="42"/>
      <c r="AZ38" s="42"/>
      <c r="BA38" s="42"/>
      <c r="BB38" s="42"/>
      <c r="BC38" s="42"/>
    </row>
    <row r="39" spans="1:92" ht="16.5" x14ac:dyDescent="0.25">
      <c r="A39" s="73" t="s">
        <v>55</v>
      </c>
      <c r="B39" s="73"/>
      <c r="C39" s="73"/>
      <c r="D39" s="73"/>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73"/>
      <c r="BA39" s="73"/>
      <c r="BB39" s="73"/>
      <c r="BC39" s="73"/>
      <c r="BD39" s="73"/>
      <c r="BE39" s="73"/>
      <c r="BF39" s="73"/>
      <c r="BG39" s="73"/>
      <c r="BH39" s="73"/>
      <c r="BI39" s="73"/>
      <c r="BJ39" s="73"/>
      <c r="BK39" s="73"/>
      <c r="BL39" s="73"/>
      <c r="BM39" s="73"/>
      <c r="BN39" s="73"/>
      <c r="BO39" s="73"/>
      <c r="BP39" s="73"/>
      <c r="BQ39" s="73"/>
      <c r="BR39" s="73"/>
      <c r="BS39" s="73"/>
      <c r="BT39" s="73"/>
      <c r="BU39" s="73"/>
      <c r="BV39" s="73"/>
      <c r="BW39" s="73"/>
      <c r="BX39" s="73"/>
      <c r="BY39" s="73"/>
      <c r="BZ39" s="73"/>
      <c r="CA39" s="73"/>
      <c r="CB39" s="73"/>
      <c r="CC39" s="73"/>
      <c r="CD39" s="73"/>
      <c r="CE39" s="73"/>
      <c r="CF39" s="73"/>
    </row>
    <row r="41" spans="1:92" x14ac:dyDescent="0.25">
      <c r="A41" s="43" t="s">
        <v>32</v>
      </c>
      <c r="B41" s="43"/>
      <c r="C41" s="43"/>
      <c r="D41" s="43"/>
      <c r="E41" s="43"/>
      <c r="F41" s="43"/>
      <c r="G41" s="43"/>
      <c r="H41" s="43"/>
      <c r="I41" s="43" t="s">
        <v>34</v>
      </c>
      <c r="J41" s="43"/>
      <c r="K41" s="43"/>
      <c r="L41" s="43"/>
      <c r="M41" s="43"/>
      <c r="N41" s="43"/>
      <c r="O41" s="43"/>
      <c r="P41" s="43"/>
      <c r="Q41" s="43"/>
      <c r="R41" s="43"/>
      <c r="S41" s="43"/>
      <c r="T41" s="43"/>
      <c r="U41" s="43"/>
      <c r="V41" s="43"/>
      <c r="W41" s="43"/>
      <c r="X41" s="43"/>
      <c r="Y41" s="43" t="s">
        <v>33</v>
      </c>
      <c r="Z41" s="43"/>
      <c r="AA41" s="43"/>
      <c r="AB41" s="43"/>
      <c r="AC41" s="43"/>
      <c r="AD41" s="43"/>
      <c r="AE41" s="43"/>
      <c r="AF41" s="43"/>
      <c r="AG41" s="43"/>
      <c r="AH41" s="43"/>
      <c r="AI41" s="43"/>
      <c r="AJ41" s="43"/>
      <c r="AK41" s="43"/>
      <c r="AL41" s="43"/>
      <c r="AM41" s="43"/>
      <c r="AN41" s="43"/>
      <c r="AO41" s="42"/>
      <c r="AP41" s="42"/>
      <c r="AQ41" s="42"/>
      <c r="AR41" s="42"/>
      <c r="AS41" s="42"/>
      <c r="AT41" s="42"/>
      <c r="AU41" s="42"/>
      <c r="AV41" s="42"/>
      <c r="AW41" s="42"/>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c r="BX41" s="42"/>
      <c r="BY41" s="42"/>
      <c r="BZ41" s="42"/>
      <c r="CA41" s="42"/>
      <c r="CB41" s="42"/>
      <c r="CC41" s="42"/>
      <c r="CD41" s="42"/>
      <c r="CE41" s="42"/>
      <c r="CF41" s="42"/>
      <c r="CG41" s="18">
        <v>43</v>
      </c>
    </row>
    <row r="42" spans="1:92" x14ac:dyDescent="0.25">
      <c r="A42" s="43"/>
      <c r="B42" s="43"/>
      <c r="C42" s="43"/>
      <c r="D42" s="43"/>
      <c r="E42" s="43"/>
      <c r="F42" s="43"/>
      <c r="G42" s="43"/>
      <c r="H42" s="43"/>
      <c r="I42" s="79" t="s">
        <v>36</v>
      </c>
      <c r="J42" s="79"/>
      <c r="K42" s="79"/>
      <c r="L42" s="79"/>
      <c r="M42" s="79"/>
      <c r="N42" s="79"/>
      <c r="O42" s="79"/>
      <c r="P42" s="79"/>
      <c r="Q42" s="79" t="s">
        <v>35</v>
      </c>
      <c r="R42" s="79"/>
      <c r="S42" s="79"/>
      <c r="T42" s="79"/>
      <c r="U42" s="79"/>
      <c r="V42" s="79"/>
      <c r="W42" s="79"/>
      <c r="X42" s="79"/>
      <c r="Y42" s="79" t="s">
        <v>36</v>
      </c>
      <c r="Z42" s="79"/>
      <c r="AA42" s="79"/>
      <c r="AB42" s="79"/>
      <c r="AC42" s="79"/>
      <c r="AD42" s="79"/>
      <c r="AE42" s="79"/>
      <c r="AF42" s="79"/>
      <c r="AG42" s="79" t="s">
        <v>35</v>
      </c>
      <c r="AH42" s="79"/>
      <c r="AI42" s="79"/>
      <c r="AJ42" s="79"/>
      <c r="AK42" s="79"/>
      <c r="AL42" s="79"/>
      <c r="AM42" s="79"/>
      <c r="AN42" s="79"/>
      <c r="AO42" s="42"/>
      <c r="AP42" s="42"/>
      <c r="AQ42" s="42"/>
      <c r="AR42" s="42"/>
      <c r="AS42" s="42"/>
      <c r="AT42" s="42"/>
      <c r="AU42" s="42"/>
      <c r="AV42" s="42"/>
      <c r="AW42" s="42"/>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c r="BX42" s="42"/>
      <c r="BY42" s="42"/>
      <c r="BZ42" s="42"/>
      <c r="CA42" s="42"/>
      <c r="CB42" s="42"/>
      <c r="CC42" s="42"/>
      <c r="CD42" s="42"/>
      <c r="CE42" s="42"/>
      <c r="CF42" s="42"/>
      <c r="CG42" s="18">
        <v>44</v>
      </c>
    </row>
    <row r="43" spans="1:92" x14ac:dyDescent="0.25">
      <c r="A43" s="43" t="s">
        <v>16</v>
      </c>
      <c r="B43" s="43"/>
      <c r="C43" s="43"/>
      <c r="D43" s="43"/>
      <c r="E43" s="43"/>
      <c r="F43" s="43"/>
      <c r="G43" s="43"/>
      <c r="H43" s="43"/>
      <c r="I43" s="42" t="str">
        <f>IFERROR(IF(VLOOKUP($CJ$7,'1° PERIODO'!$A$7:$AT$36,$CG$41)=0,"-",VLOOKUP($CJ$7,'1° PERIODO'!$A$7:$AT$36,$CG$41)),"")</f>
        <v>-</v>
      </c>
      <c r="J43" s="42"/>
      <c r="K43" s="42"/>
      <c r="L43" s="42"/>
      <c r="M43" s="42"/>
      <c r="N43" s="42"/>
      <c r="O43" s="42"/>
      <c r="P43" s="42"/>
      <c r="Q43" s="42" t="str">
        <f>IFERROR(IF(VLOOKUP($CJ$7,'1° PERIODO'!$A$7:$AT$36,$CG$42)=0,"-",VLOOKUP($CJ$7,'1° PERIODO'!$A$7:$AT$36,$CG$42)),"")</f>
        <v>-</v>
      </c>
      <c r="R43" s="42"/>
      <c r="S43" s="42"/>
      <c r="T43" s="42"/>
      <c r="U43" s="42"/>
      <c r="V43" s="42"/>
      <c r="W43" s="42"/>
      <c r="X43" s="42"/>
      <c r="Y43" s="42" t="str">
        <f>IFERROR(IF(VLOOKUP($CJ$7,'1° PERIODO'!$A$7:$AT$36,$CG$43)=0,"-",VLOOKUP($CJ$7,'1° PERIODO'!$A$7:$AT$36,$CG$43)),"")</f>
        <v>-</v>
      </c>
      <c r="Z43" s="42"/>
      <c r="AA43" s="42"/>
      <c r="AB43" s="42"/>
      <c r="AC43" s="42"/>
      <c r="AD43" s="42"/>
      <c r="AE43" s="42"/>
      <c r="AF43" s="42"/>
      <c r="AG43" s="42">
        <f>IFERROR(IF(VLOOKUP($CJ$7,'1° PERIODO'!$A$7:$AT$36,$CG$44)=0,"-",VLOOKUP($CJ$7,'1° PERIODO'!$A$7:$AT$36,$CG$44)),"")</f>
        <v>6</v>
      </c>
      <c r="AH43" s="42"/>
      <c r="AI43" s="42"/>
      <c r="AJ43" s="42"/>
      <c r="AK43" s="42"/>
      <c r="AL43" s="42"/>
      <c r="AM43" s="42"/>
      <c r="AN43" s="42"/>
      <c r="AO43" s="42"/>
      <c r="AP43" s="42"/>
      <c r="AQ43" s="42"/>
      <c r="AR43" s="42"/>
      <c r="AS43" s="42"/>
      <c r="AT43" s="42"/>
      <c r="AU43" s="42"/>
      <c r="AV43" s="42"/>
      <c r="AW43" s="42"/>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c r="BX43" s="42"/>
      <c r="BY43" s="42"/>
      <c r="BZ43" s="42"/>
      <c r="CA43" s="42"/>
      <c r="CB43" s="42"/>
      <c r="CC43" s="42"/>
      <c r="CD43" s="42"/>
      <c r="CE43" s="42"/>
      <c r="CF43" s="42"/>
      <c r="CG43" s="18">
        <v>45</v>
      </c>
    </row>
    <row r="44" spans="1:92" x14ac:dyDescent="0.25">
      <c r="A44" s="43" t="s">
        <v>17</v>
      </c>
      <c r="B44" s="43"/>
      <c r="C44" s="43"/>
      <c r="D44" s="43"/>
      <c r="E44" s="43"/>
      <c r="F44" s="43"/>
      <c r="G44" s="43"/>
      <c r="H44" s="43"/>
      <c r="I44" s="42" t="str">
        <f>IFERROR(IF(VLOOKUP($CJ$7,'2° PERIODO'!$A$7:$BV$36,$CG$41)=VLOOKUP($CJ$7,'1° PERIODO'!$A$7:$AT$36,$CG$41),"-",VLOOKUP($CJ$7,'2° PERIODO'!$A$7:$BV$36,$CG$41)-VLOOKUP($CJ$7,'1° PERIODO'!$A$7:$AT$36,$CG$41)),"")</f>
        <v>-</v>
      </c>
      <c r="J44" s="42"/>
      <c r="K44" s="42"/>
      <c r="L44" s="42"/>
      <c r="M44" s="42"/>
      <c r="N44" s="42"/>
      <c r="O44" s="42"/>
      <c r="P44" s="42"/>
      <c r="Q44" s="42" t="str">
        <f>IFERROR(IF(VLOOKUP($CJ$7,'2° PERIODO'!$A$7:$BV$36,$CG$42)=VLOOKUP($CJ$7,'1° PERIODO'!$A$7:$AT$36,$CG$42),"-",VLOOKUP($CJ$7,'2° PERIODO'!$A$7:$BV$36,$CG$42)-VLOOKUP($CJ$7,'1° PERIODO'!$A$7:$AT$36,$CG$42)),"")</f>
        <v>-</v>
      </c>
      <c r="R44" s="42"/>
      <c r="S44" s="42"/>
      <c r="T44" s="42"/>
      <c r="U44" s="42"/>
      <c r="V44" s="42"/>
      <c r="W44" s="42"/>
      <c r="X44" s="42"/>
      <c r="Y44" s="42" t="str">
        <f>IFERROR(IF(VLOOKUP($CJ$7,'2° PERIODO'!$A$7:$BV$36,$CG$43)=VLOOKUP($CJ$7,'1° PERIODO'!$A$7:$AT$36,$CG$43),"-",VLOOKUP($CJ$7,'2° PERIODO'!$A$7:$BV$36,$CG$43)-VLOOKUP($CJ$7,'1° PERIODO'!$A$7:$AT$36,$CG$43)),"")</f>
        <v>-</v>
      </c>
      <c r="Z44" s="42"/>
      <c r="AA44" s="42"/>
      <c r="AB44" s="42"/>
      <c r="AC44" s="42"/>
      <c r="AD44" s="42"/>
      <c r="AE44" s="42"/>
      <c r="AF44" s="42"/>
      <c r="AG44" s="42">
        <f>IFERROR(IF(VLOOKUP($CJ$7,'2° PERIODO'!$A$7:$AT$36,$CG$44)=0,"-",VLOOKUP($CJ$7,'2° PERIODO'!$A$7:$AT$36,$CG$44)),"")</f>
        <v>17</v>
      </c>
      <c r="AH44" s="42"/>
      <c r="AI44" s="42"/>
      <c r="AJ44" s="42"/>
      <c r="AK44" s="42"/>
      <c r="AL44" s="42"/>
      <c r="AM44" s="42"/>
      <c r="AN44" s="42"/>
      <c r="AO44" s="42"/>
      <c r="AP44" s="42"/>
      <c r="AQ44" s="42"/>
      <c r="AR44" s="42"/>
      <c r="AS44" s="42"/>
      <c r="AT44" s="42"/>
      <c r="AU44" s="42"/>
      <c r="AV44" s="42"/>
      <c r="AW44" s="42"/>
      <c r="AX44" s="42"/>
      <c r="AY44" s="42"/>
      <c r="AZ44" s="42"/>
      <c r="BA44" s="42"/>
      <c r="BB44" s="42"/>
      <c r="BC44" s="42"/>
      <c r="BD44" s="42"/>
      <c r="BE44" s="42"/>
      <c r="BF44" s="42"/>
      <c r="BG44" s="42"/>
      <c r="BH44" s="42"/>
      <c r="BI44" s="42"/>
      <c r="BJ44" s="42"/>
      <c r="BK44" s="42"/>
      <c r="BL44" s="42"/>
      <c r="BM44" s="42"/>
      <c r="BN44" s="42"/>
      <c r="BO44" s="42"/>
      <c r="BP44" s="42"/>
      <c r="BQ44" s="42"/>
      <c r="BR44" s="42"/>
      <c r="BS44" s="42"/>
      <c r="BT44" s="42"/>
      <c r="BU44" s="42"/>
      <c r="BV44" s="42"/>
      <c r="BW44" s="42"/>
      <c r="BX44" s="42"/>
      <c r="BY44" s="42"/>
      <c r="BZ44" s="42"/>
      <c r="CA44" s="42"/>
      <c r="CB44" s="42"/>
      <c r="CC44" s="42"/>
      <c r="CD44" s="42"/>
      <c r="CE44" s="42"/>
      <c r="CF44" s="42"/>
      <c r="CG44" s="18">
        <v>46</v>
      </c>
    </row>
    <row r="45" spans="1:92" x14ac:dyDescent="0.25">
      <c r="A45" s="43" t="s">
        <v>18</v>
      </c>
      <c r="B45" s="43"/>
      <c r="C45" s="43"/>
      <c r="D45" s="43"/>
      <c r="E45" s="43"/>
      <c r="F45" s="43"/>
      <c r="G45" s="43"/>
      <c r="H45" s="43"/>
      <c r="I45" s="42" t="str">
        <f>IFERROR(IF(VLOOKUP($CJ$7,'3° PERIODO'!$A$7:$BV$36,$CG$41)=VLOOKUP($CJ$7,'2° PERIODO'!$A$7:$BV$36,$CG$41),"-",VLOOKUP($CJ$7,'3° PERIODO'!$A$7:$BV$36,$CG$41)-VLOOKUP($CJ$7,'2° PERIODO'!$A$7:$BV$36,$CG$41)),"")</f>
        <v>-</v>
      </c>
      <c r="J45" s="42"/>
      <c r="K45" s="42"/>
      <c r="L45" s="42"/>
      <c r="M45" s="42"/>
      <c r="N45" s="42"/>
      <c r="O45" s="42"/>
      <c r="P45" s="42"/>
      <c r="Q45" s="42" t="str">
        <f>IFERROR(IF(VLOOKUP($CJ$7,'3° PERIODO'!$A$7:$BV$36,$CG$42)=VLOOKUP($CJ$7,'2° PERIODO'!$A$7:$BV$36,$CG$42),"-",VLOOKUP($CJ$7,'3° PERIODO'!$A$7:$BV$36,$CG$42)-VLOOKUP($CJ$7,'2° PERIODO'!$A$7:$BV$36,$CG$42)),"")</f>
        <v>-</v>
      </c>
      <c r="R45" s="42"/>
      <c r="S45" s="42"/>
      <c r="T45" s="42"/>
      <c r="U45" s="42"/>
      <c r="V45" s="42"/>
      <c r="W45" s="42"/>
      <c r="X45" s="42"/>
      <c r="Y45" s="42">
        <f>IFERROR(IF(VLOOKUP($CJ$7,'3° PERIODO'!$A$7:$BV$36,$CG$43)=VLOOKUP($CJ$7,'2° PERIODO'!$A$7:$BV$36,$CG$43),"-",VLOOKUP($CJ$7,'3° PERIODO'!$A$7:$BV$36,$CG$43)-VLOOKUP($CJ$7,'2° PERIODO'!$A$7:$BV$36,$CG$43)),"")</f>
        <v>3</v>
      </c>
      <c r="Z45" s="42"/>
      <c r="AA45" s="42"/>
      <c r="AB45" s="42"/>
      <c r="AC45" s="42"/>
      <c r="AD45" s="42"/>
      <c r="AE45" s="42"/>
      <c r="AF45" s="42"/>
      <c r="AG45" s="42">
        <f>IFERROR(IF(VLOOKUP($CJ$7,'3° PERIODO'!$A$7:$BV$36,$CG$44)=VLOOKUP($CJ$7,'2° PERIODO'!$A$7:$BV$36,$CG$44),"-",VLOOKUP($CJ$7,'3° PERIODO'!$A$7:$BV$36,$CG$44)-VLOOKUP($CJ$7,'2° PERIODO'!$A$7:$BV$36,$CG$44)),"")</f>
        <v>-3</v>
      </c>
      <c r="AH45" s="42"/>
      <c r="AI45" s="42"/>
      <c r="AJ45" s="42"/>
      <c r="AK45" s="42"/>
      <c r="AL45" s="42"/>
      <c r="AM45" s="42"/>
      <c r="AN45" s="42"/>
      <c r="AO45" s="42"/>
      <c r="AP45" s="42"/>
      <c r="AQ45" s="42"/>
      <c r="AR45" s="42"/>
      <c r="AS45" s="42"/>
      <c r="AT45" s="42"/>
      <c r="AU45" s="42"/>
      <c r="AV45" s="42"/>
      <c r="AW45" s="42"/>
      <c r="AX45" s="42"/>
      <c r="AY45" s="42"/>
      <c r="AZ45" s="42"/>
      <c r="BA45" s="42"/>
      <c r="BB45" s="42"/>
      <c r="BC45" s="42"/>
      <c r="BD45" s="42"/>
      <c r="BE45" s="42"/>
      <c r="BF45" s="42"/>
      <c r="BG45" s="42"/>
      <c r="BH45" s="42"/>
      <c r="BI45" s="42"/>
      <c r="BJ45" s="42"/>
      <c r="BK45" s="42"/>
      <c r="BL45" s="42"/>
      <c r="BM45" s="42"/>
      <c r="BN45" s="42"/>
      <c r="BO45" s="42"/>
      <c r="BP45" s="42"/>
      <c r="BQ45" s="42"/>
      <c r="BR45" s="42"/>
      <c r="BS45" s="42"/>
      <c r="BT45" s="42"/>
      <c r="BU45" s="42"/>
      <c r="BV45" s="42"/>
      <c r="BW45" s="42"/>
      <c r="BX45" s="42"/>
      <c r="BY45" s="42"/>
      <c r="BZ45" s="42"/>
      <c r="CA45" s="42"/>
      <c r="CB45" s="42"/>
      <c r="CC45" s="42"/>
      <c r="CD45" s="42"/>
      <c r="CE45" s="42"/>
      <c r="CF45" s="42"/>
    </row>
    <row r="46" spans="1:92" x14ac:dyDescent="0.25">
      <c r="A46" s="43" t="s">
        <v>20</v>
      </c>
      <c r="B46" s="43"/>
      <c r="C46" s="43"/>
      <c r="D46" s="43"/>
      <c r="E46" s="43"/>
      <c r="F46" s="43"/>
      <c r="G46" s="43"/>
      <c r="H46" s="43"/>
      <c r="I46" s="42" t="str">
        <f>IFERROR(IF(VLOOKUP($CJ$7,'4° PERIODO'!$A$7:$BV$36,$CG$41)=VLOOKUP($CJ$7,'3° PERIODO'!$A$7:$BV$36,$CG$41),"-",VLOOKUP($CJ$7,'4° PERIODO'!$A$7:$BV$36,$CG$41)-VLOOKUP($CJ$7,'3° PERIODO'!$A$7:$BV$36,$CG$41)),"")</f>
        <v>-</v>
      </c>
      <c r="J46" s="42"/>
      <c r="K46" s="42"/>
      <c r="L46" s="42"/>
      <c r="M46" s="42"/>
      <c r="N46" s="42"/>
      <c r="O46" s="42"/>
      <c r="P46" s="42"/>
      <c r="Q46" s="42" t="str">
        <f>IFERROR(IF(VLOOKUP($CJ$7,'4° PERIODO'!$A$7:$BV$36,$CG$42)=VLOOKUP($CJ$7,'3° PERIODO'!$A$7:$BV$36,$CG$42),"-",VLOOKUP($CJ$7,'4° PERIODO'!$A$7:$BV$36,$CG$42)-VLOOKUP($CJ$7,'3° PERIODO'!$A$7:$BV$36,$CG$42)),"")</f>
        <v>-</v>
      </c>
      <c r="R46" s="42"/>
      <c r="S46" s="42"/>
      <c r="T46" s="42"/>
      <c r="U46" s="42"/>
      <c r="V46" s="42"/>
      <c r="W46" s="42"/>
      <c r="X46" s="42"/>
      <c r="Y46" s="42">
        <f>IFERROR(IF(VLOOKUP($CJ$7,'4° PERIODO'!$A$7:$BV$36,$CG$43)=VLOOKUP($CJ$7,'3° PERIODO'!$A$7:$BV$36,$CG$43),"-",VLOOKUP($CJ$7,'4° PERIODO'!$A$7:$BV$36,$CG$43)-VLOOKUP($CJ$7,'3° PERIODO'!$A$7:$BV$36,$CG$43)),"")</f>
        <v>-3</v>
      </c>
      <c r="Z46" s="42"/>
      <c r="AA46" s="42"/>
      <c r="AB46" s="42"/>
      <c r="AC46" s="42"/>
      <c r="AD46" s="42"/>
      <c r="AE46" s="42"/>
      <c r="AF46" s="42"/>
      <c r="AG46" s="42">
        <f>IFERROR(IF(VLOOKUP($CJ$7,'4° PERIODO'!$A$7:$BV$36,$CG$44)=VLOOKUP($CJ$7,'3° PERIODO'!$A$7:$BV$36,$CG$44),"-",VLOOKUP($CJ$7,'4° PERIODO'!$A$7:$BV$36,$CG$44)-VLOOKUP($CJ$7,'3° PERIODO'!$A$7:$BV$36,$CG$44)),"")</f>
        <v>9</v>
      </c>
      <c r="AH46" s="42"/>
      <c r="AI46" s="42"/>
      <c r="AJ46" s="42"/>
      <c r="AK46" s="42"/>
      <c r="AL46" s="42"/>
      <c r="AM46" s="42"/>
      <c r="AN46" s="42"/>
      <c r="AO46" s="42"/>
      <c r="AP46" s="42"/>
      <c r="AQ46" s="42"/>
      <c r="AR46" s="42"/>
      <c r="AS46" s="42"/>
      <c r="AT46" s="42"/>
      <c r="AU46" s="42"/>
      <c r="AV46" s="42"/>
      <c r="AW46" s="42"/>
      <c r="AX46" s="42"/>
      <c r="AY46" s="42"/>
      <c r="AZ46" s="42"/>
      <c r="BA46" s="42"/>
      <c r="BB46" s="42"/>
      <c r="BC46" s="42"/>
      <c r="BD46" s="42"/>
      <c r="BE46" s="42"/>
      <c r="BF46" s="42"/>
      <c r="BG46" s="42"/>
      <c r="BH46" s="42"/>
      <c r="BI46" s="42"/>
      <c r="BJ46" s="42"/>
      <c r="BK46" s="42"/>
      <c r="BL46" s="42"/>
      <c r="BM46" s="42"/>
      <c r="BN46" s="42"/>
      <c r="BO46" s="42"/>
      <c r="BP46" s="42"/>
      <c r="BQ46" s="42"/>
      <c r="BR46" s="42"/>
      <c r="BS46" s="42"/>
      <c r="BT46" s="42"/>
      <c r="BU46" s="42"/>
      <c r="BV46" s="42"/>
      <c r="BW46" s="42"/>
      <c r="BX46" s="42"/>
      <c r="BY46" s="42"/>
      <c r="BZ46" s="42"/>
      <c r="CA46" s="42"/>
      <c r="CB46" s="42"/>
      <c r="CC46" s="42"/>
      <c r="CD46" s="42"/>
      <c r="CE46" s="42"/>
      <c r="CF46" s="42"/>
    </row>
    <row r="47" spans="1:92" x14ac:dyDescent="0.25">
      <c r="A47" s="43" t="s">
        <v>37</v>
      </c>
      <c r="B47" s="43"/>
      <c r="C47" s="43"/>
      <c r="D47" s="43"/>
      <c r="E47" s="43"/>
      <c r="F47" s="43"/>
      <c r="G47" s="43"/>
      <c r="H47" s="43"/>
      <c r="I47" s="40" t="str">
        <f>IF(SUM(I43:P46)=0,"-",SUM(I43:P46))</f>
        <v>-</v>
      </c>
      <c r="J47" s="40"/>
      <c r="K47" s="40"/>
      <c r="L47" s="40"/>
      <c r="M47" s="40"/>
      <c r="N47" s="40"/>
      <c r="O47" s="40"/>
      <c r="P47" s="40"/>
      <c r="Q47" s="40" t="str">
        <f>IF(SUM(Q43:X46)=0,"-",SUM(Q43:X46))</f>
        <v>-</v>
      </c>
      <c r="R47" s="40"/>
      <c r="S47" s="40"/>
      <c r="T47" s="40"/>
      <c r="U47" s="40"/>
      <c r="V47" s="40"/>
      <c r="W47" s="40"/>
      <c r="X47" s="40"/>
      <c r="Y47" s="40" t="str">
        <f>IF(SUM(Y43:AF46)=0,"-",SUM(Y43:AF46))</f>
        <v>-</v>
      </c>
      <c r="Z47" s="40"/>
      <c r="AA47" s="40"/>
      <c r="AB47" s="40"/>
      <c r="AC47" s="40"/>
      <c r="AD47" s="40"/>
      <c r="AE47" s="40"/>
      <c r="AF47" s="40"/>
      <c r="AG47" s="40">
        <f>IF(SUM(AG43:AN46)=0,"-",SUM(AG43:AN46))</f>
        <v>29</v>
      </c>
      <c r="AH47" s="40"/>
      <c r="AI47" s="40"/>
      <c r="AJ47" s="40"/>
      <c r="AK47" s="40"/>
      <c r="AL47" s="40"/>
      <c r="AM47" s="40"/>
      <c r="AN47" s="40"/>
      <c r="AO47" s="40" t="s">
        <v>64</v>
      </c>
      <c r="AP47" s="40"/>
      <c r="AQ47" s="40"/>
      <c r="AR47" s="40"/>
      <c r="AS47" s="40"/>
      <c r="AT47" s="40"/>
      <c r="AU47" s="40"/>
      <c r="AV47" s="40"/>
      <c r="AW47" s="40"/>
      <c r="AX47" s="40"/>
      <c r="AY47" s="40"/>
      <c r="AZ47" s="40"/>
      <c r="BA47" s="40"/>
      <c r="BB47" s="40"/>
      <c r="BC47" s="40"/>
      <c r="BD47" s="40"/>
      <c r="BE47" s="40"/>
      <c r="BF47" s="40"/>
      <c r="BG47" s="40"/>
      <c r="BH47" s="40"/>
      <c r="BI47" s="40"/>
      <c r="BJ47" s="40"/>
      <c r="BK47" s="40"/>
      <c r="BL47" s="40"/>
      <c r="BM47" s="40"/>
      <c r="BN47" s="40"/>
      <c r="BO47" s="40"/>
      <c r="BP47" s="40"/>
      <c r="BQ47" s="40"/>
      <c r="BR47" s="40"/>
      <c r="BS47" s="40"/>
      <c r="BT47" s="40"/>
      <c r="BU47" s="40"/>
      <c r="BV47" s="40"/>
      <c r="BW47" s="40"/>
      <c r="BX47" s="40"/>
      <c r="BY47" s="40"/>
      <c r="BZ47" s="40"/>
      <c r="CA47" s="40"/>
      <c r="CB47" s="40"/>
      <c r="CC47" s="40"/>
      <c r="CD47" s="40"/>
      <c r="CE47" s="40"/>
      <c r="CF47" s="40"/>
    </row>
    <row r="49" spans="1:85" ht="16.5" x14ac:dyDescent="0.25">
      <c r="A49" s="73" t="s">
        <v>69</v>
      </c>
      <c r="B49" s="73"/>
      <c r="C49" s="73"/>
      <c r="D49" s="73"/>
      <c r="E49" s="73"/>
      <c r="F49" s="73"/>
      <c r="G49" s="73"/>
      <c r="H49" s="73"/>
      <c r="I49" s="73"/>
      <c r="J49" s="73"/>
      <c r="K49" s="73"/>
      <c r="L49" s="73"/>
      <c r="M49" s="73"/>
      <c r="N49" s="73"/>
      <c r="O49" s="73"/>
      <c r="P49" s="73"/>
      <c r="Q49" s="73"/>
      <c r="R49" s="73"/>
      <c r="S49" s="73"/>
      <c r="T49" s="73"/>
      <c r="U49" s="73"/>
      <c r="V49" s="73"/>
      <c r="W49" s="73"/>
      <c r="X49" s="73"/>
      <c r="Y49" s="73"/>
      <c r="Z49" s="73"/>
      <c r="AA49" s="73"/>
      <c r="AB49" s="73"/>
      <c r="AC49" s="73"/>
      <c r="AD49" s="73"/>
      <c r="AE49" s="73"/>
      <c r="AF49" s="73"/>
      <c r="AG49" s="73"/>
      <c r="AH49" s="73"/>
      <c r="AI49" s="73"/>
      <c r="AJ49" s="73"/>
      <c r="AK49" s="73"/>
      <c r="AL49" s="73"/>
      <c r="AM49" s="73"/>
      <c r="AN49" s="73"/>
      <c r="AO49" s="73"/>
      <c r="AP49" s="73"/>
      <c r="AQ49" s="73"/>
      <c r="AR49" s="73"/>
      <c r="AS49" s="73"/>
      <c r="AT49" s="73"/>
      <c r="AU49" s="73"/>
      <c r="AV49" s="73"/>
      <c r="AW49" s="73"/>
      <c r="AX49" s="73"/>
      <c r="AY49" s="73"/>
      <c r="AZ49" s="73"/>
      <c r="BA49" s="73"/>
      <c r="BB49" s="73"/>
      <c r="BC49" s="73"/>
      <c r="BD49" s="73"/>
      <c r="BE49" s="73"/>
      <c r="BF49" s="73"/>
      <c r="BG49" s="73"/>
      <c r="BH49" s="73"/>
      <c r="BI49" s="73"/>
      <c r="BJ49" s="73"/>
      <c r="BK49" s="73"/>
      <c r="BL49" s="73"/>
      <c r="BM49" s="73"/>
      <c r="BN49" s="73"/>
      <c r="BO49" s="73"/>
      <c r="BP49" s="73"/>
      <c r="BQ49" s="73"/>
      <c r="BR49" s="73"/>
      <c r="BS49" s="73"/>
      <c r="BT49" s="73"/>
      <c r="BU49" s="73"/>
      <c r="BV49" s="73"/>
      <c r="BW49" s="73"/>
      <c r="BX49" s="73"/>
      <c r="BY49" s="73"/>
      <c r="BZ49" s="73"/>
      <c r="CA49" s="73"/>
      <c r="CB49" s="73"/>
      <c r="CC49" s="73"/>
      <c r="CD49" s="73"/>
      <c r="CE49" s="73"/>
      <c r="CF49" s="73"/>
    </row>
    <row r="51" spans="1:85" ht="25.15" customHeight="1" x14ac:dyDescent="0.25">
      <c r="A51" s="41" t="s">
        <v>65</v>
      </c>
      <c r="B51" s="41"/>
      <c r="C51" s="41"/>
      <c r="D51" s="41"/>
      <c r="E51" s="41"/>
      <c r="F51" s="41"/>
      <c r="G51" s="41"/>
      <c r="H51" s="41"/>
      <c r="I51" s="41"/>
      <c r="J51" s="43" t="s">
        <v>70</v>
      </c>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t="s">
        <v>16</v>
      </c>
      <c r="BM51" s="43"/>
      <c r="BN51" s="43"/>
      <c r="BO51" s="43" t="s">
        <v>17</v>
      </c>
      <c r="BP51" s="43"/>
      <c r="BQ51" s="43"/>
      <c r="BR51" s="43" t="s">
        <v>18</v>
      </c>
      <c r="BS51" s="43"/>
      <c r="BT51" s="43"/>
      <c r="BU51" s="43" t="s">
        <v>20</v>
      </c>
      <c r="BV51" s="43"/>
      <c r="BW51" s="43"/>
      <c r="BX51" s="41" t="s">
        <v>38</v>
      </c>
      <c r="BY51" s="41"/>
      <c r="BZ51" s="41"/>
      <c r="CA51" s="41"/>
      <c r="CB51" s="41"/>
      <c r="CC51" s="41"/>
      <c r="CD51" s="41"/>
      <c r="CE51" s="41"/>
      <c r="CF51" s="41"/>
    </row>
    <row r="52" spans="1:85" ht="25.15" customHeight="1" x14ac:dyDescent="0.25">
      <c r="A52" s="77" t="s">
        <v>39</v>
      </c>
      <c r="B52" s="77"/>
      <c r="C52" s="77"/>
      <c r="D52" s="77"/>
      <c r="E52" s="77"/>
      <c r="F52" s="77"/>
      <c r="G52" s="77"/>
      <c r="H52" s="77"/>
      <c r="I52" s="77"/>
      <c r="J52" s="78" t="s">
        <v>40</v>
      </c>
      <c r="K52" s="78"/>
      <c r="L52" s="78"/>
      <c r="M52" s="78"/>
      <c r="N52" s="78"/>
      <c r="O52" s="78"/>
      <c r="P52" s="78"/>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78"/>
      <c r="BJ52" s="78"/>
      <c r="BK52" s="78"/>
      <c r="BL52" s="74" t="str">
        <f>IFERROR(IF(VLOOKUP($CJ$7,'1° PERIODO'!$A$7:$AT$36,CG52)="","-",VLOOKUP($CJ$7,'1° PERIODO'!$A$7:$AT$36,CG52)),"")</f>
        <v>B</v>
      </c>
      <c r="BM52" s="75"/>
      <c r="BN52" s="76"/>
      <c r="BO52" s="42" t="str">
        <f>IFERROR(IF(VLOOKUP($CJ$7,'2° PERIODO'!$A$7:$BV$36,CG52)="","-",VLOOKUP($CJ$7,'2° PERIODO'!$A$7:$BV$36,CG52)),"")</f>
        <v>B</v>
      </c>
      <c r="BP52" s="42"/>
      <c r="BQ52" s="42"/>
      <c r="BR52" s="42" t="str">
        <f>IFERROR(IF(VLOOKUP($CJ$7,'3° PERIODO'!$A$7:$BV$36,CG52)="","-",VLOOKUP($CJ$7,'3° PERIODO'!$A$7:$BV$36,CG52)),"")</f>
        <v>A</v>
      </c>
      <c r="BS52" s="42"/>
      <c r="BT52" s="42"/>
      <c r="BU52" s="42" t="str">
        <f>IFERROR(IF(VLOOKUP($CJ$7,'4° PERIODO'!$A$7:$BV$36,CG52)="","-",VLOOKUP($CJ$7,'4° PERIODO'!$A$7:$BV$36,CG52)),"")</f>
        <v>A</v>
      </c>
      <c r="BV52" s="42"/>
      <c r="BW52" s="42"/>
      <c r="BX52" s="40" t="str" cm="1">
        <f t="array" ref="BX52">IFERROR(_xlfn.XLOOKUP(ROUND(AVERAGE(_xlfn.XLOOKUP(BL52:BW52,{"AD";"A";"B";"C"},{4;3;2;1},"")),0),{4;3;2;1},{"AD";"A";"B";"C"}),"-")</f>
        <v>A</v>
      </c>
      <c r="BY52" s="40"/>
      <c r="BZ52" s="40"/>
      <c r="CA52" s="40"/>
      <c r="CB52" s="40"/>
      <c r="CC52" s="40"/>
      <c r="CD52" s="40"/>
      <c r="CE52" s="40"/>
      <c r="CF52" s="40"/>
      <c r="CG52" s="18">
        <v>4</v>
      </c>
    </row>
    <row r="53" spans="1:85" ht="25.15" customHeight="1" x14ac:dyDescent="0.25">
      <c r="A53" s="77" t="s">
        <v>41</v>
      </c>
      <c r="B53" s="77"/>
      <c r="C53" s="77"/>
      <c r="D53" s="77"/>
      <c r="E53" s="77"/>
      <c r="F53" s="77"/>
      <c r="G53" s="77"/>
      <c r="H53" s="77"/>
      <c r="I53" s="77"/>
      <c r="J53" s="78" t="s">
        <v>67</v>
      </c>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4" t="str">
        <f>IFERROR(IF(VLOOKUP($CJ$7,'1° PERIODO'!$A$7:$AT$36,CG53)="","-",VLOOKUP($CJ$7,'1° PERIODO'!$A$7:$AT$36,CG53)),"")</f>
        <v>B</v>
      </c>
      <c r="BM53" s="75"/>
      <c r="BN53" s="76"/>
      <c r="BO53" s="42" t="str">
        <f>IFERROR(IF(VLOOKUP($CJ$7,'2° PERIODO'!$A$7:$BV$36,CG53)="","-",VLOOKUP($CJ$7,'2° PERIODO'!$A$7:$BV$36,CG53)),"")</f>
        <v>B</v>
      </c>
      <c r="BP53" s="42"/>
      <c r="BQ53" s="42"/>
      <c r="BR53" s="42" t="str">
        <f>IFERROR(IF(VLOOKUP($CJ$7,'3° PERIODO'!$A$7:$BV$36,CG53)="","-",VLOOKUP($CJ$7,'3° PERIODO'!$A$7:$BV$36,CG53)),"")</f>
        <v>A</v>
      </c>
      <c r="BS53" s="42"/>
      <c r="BT53" s="42"/>
      <c r="BU53" s="42" t="str">
        <f>IFERROR(IF(VLOOKUP($CJ$7,'4° PERIODO'!$A$7:$BV$36,CG53)="","-",VLOOKUP($CJ$7,'4° PERIODO'!$A$7:$BV$36,CG53)),"")</f>
        <v>A</v>
      </c>
      <c r="BV53" s="42"/>
      <c r="BW53" s="42"/>
      <c r="BX53" s="40" t="str" cm="1">
        <f t="array" ref="BX53">IFERROR(_xlfn.XLOOKUP(ROUND(AVERAGE(_xlfn.XLOOKUP(BL53:BW53,{"AD";"A";"B";"C"},{4;3;2;1},"")),0),{4;3;2;1},{"AD";"A";"B";"C"}),"-")</f>
        <v>A</v>
      </c>
      <c r="BY53" s="40"/>
      <c r="BZ53" s="40"/>
      <c r="CA53" s="40"/>
      <c r="CB53" s="40"/>
      <c r="CC53" s="40"/>
      <c r="CD53" s="40"/>
      <c r="CE53" s="40"/>
      <c r="CF53" s="40"/>
      <c r="CG53" s="18">
        <v>5</v>
      </c>
    </row>
    <row r="54" spans="1:85" ht="25.15" customHeight="1" x14ac:dyDescent="0.25">
      <c r="A54" s="77" t="s">
        <v>42</v>
      </c>
      <c r="B54" s="77"/>
      <c r="C54" s="77"/>
      <c r="D54" s="77"/>
      <c r="E54" s="77"/>
      <c r="F54" s="77"/>
      <c r="G54" s="77"/>
      <c r="H54" s="77"/>
      <c r="I54" s="77"/>
      <c r="J54" s="78" t="s">
        <v>43</v>
      </c>
      <c r="K54" s="78"/>
      <c r="L54" s="78"/>
      <c r="M54" s="78"/>
      <c r="N54" s="78"/>
      <c r="O54" s="78"/>
      <c r="P54" s="78"/>
      <c r="Q54" s="78"/>
      <c r="R54" s="78"/>
      <c r="S54" s="78"/>
      <c r="T54" s="78"/>
      <c r="U54" s="78"/>
      <c r="V54" s="78"/>
      <c r="W54" s="78"/>
      <c r="X54" s="78"/>
      <c r="Y54" s="78"/>
      <c r="Z54" s="78"/>
      <c r="AA54" s="78"/>
      <c r="AB54" s="78"/>
      <c r="AC54" s="78"/>
      <c r="AD54" s="78"/>
      <c r="AE54" s="78"/>
      <c r="AF54" s="78"/>
      <c r="AG54" s="78"/>
      <c r="AH54" s="78"/>
      <c r="AI54" s="78"/>
      <c r="AJ54" s="78"/>
      <c r="AK54" s="78"/>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78"/>
      <c r="BJ54" s="78"/>
      <c r="BK54" s="78"/>
      <c r="BL54" s="74" t="str">
        <f>IFERROR(IF(VLOOKUP($CJ$7,'1° PERIODO'!$A$7:$AT$36,CG54)="","-",VLOOKUP($CJ$7,'1° PERIODO'!$A$7:$AT$36,CG54)),"")</f>
        <v>A</v>
      </c>
      <c r="BM54" s="75"/>
      <c r="BN54" s="76"/>
      <c r="BO54" s="42" t="str">
        <f>IFERROR(IF(VLOOKUP($CJ$7,'2° PERIODO'!$A$7:$BV$36,CG54)="","-",VLOOKUP($CJ$7,'2° PERIODO'!$A$7:$BV$36,CG54)),"")</f>
        <v>A</v>
      </c>
      <c r="BP54" s="42"/>
      <c r="BQ54" s="42"/>
      <c r="BR54" s="42" t="str">
        <f>IFERROR(IF(VLOOKUP($CJ$7,'3° PERIODO'!$A$7:$BV$36,CG54)="","-",VLOOKUP($CJ$7,'3° PERIODO'!$A$7:$BV$36,CG54)),"")</f>
        <v>A</v>
      </c>
      <c r="BS54" s="42"/>
      <c r="BT54" s="42"/>
      <c r="BU54" s="42" t="str">
        <f>IFERROR(IF(VLOOKUP($CJ$7,'4° PERIODO'!$A$7:$BV$36,CG54)="","-",VLOOKUP($CJ$7,'4° PERIODO'!$A$7:$BV$36,CG54)),"")</f>
        <v>A</v>
      </c>
      <c r="BV54" s="42"/>
      <c r="BW54" s="42"/>
      <c r="BX54" s="40" t="str" cm="1">
        <f t="array" ref="BX54">IFERROR(_xlfn.XLOOKUP(ROUND(AVERAGE(_xlfn.XLOOKUP(BL54:BW54,{"AD";"A";"B";"C"},{4;3;2;1},"")),0),{4;3;2;1},{"AD";"A";"B";"C"}),"-")</f>
        <v>A</v>
      </c>
      <c r="BY54" s="40"/>
      <c r="BZ54" s="40"/>
      <c r="CA54" s="40"/>
      <c r="CB54" s="40"/>
      <c r="CC54" s="40"/>
      <c r="CD54" s="40"/>
      <c r="CE54" s="40"/>
      <c r="CF54" s="40"/>
      <c r="CG54" s="18">
        <v>6</v>
      </c>
    </row>
    <row r="55" spans="1:85" ht="25.15" customHeight="1" x14ac:dyDescent="0.25">
      <c r="A55" s="77" t="s">
        <v>44</v>
      </c>
      <c r="B55" s="77"/>
      <c r="C55" s="77"/>
      <c r="D55" s="77"/>
      <c r="E55" s="77"/>
      <c r="F55" s="77"/>
      <c r="G55" s="77"/>
      <c r="H55" s="77"/>
      <c r="I55" s="77"/>
      <c r="J55" s="78" t="s">
        <v>45</v>
      </c>
      <c r="K55" s="78"/>
      <c r="L55" s="78"/>
      <c r="M55" s="78"/>
      <c r="N55" s="78"/>
      <c r="O55" s="78"/>
      <c r="P55" s="78"/>
      <c r="Q55" s="78"/>
      <c r="R55" s="78"/>
      <c r="S55" s="78"/>
      <c r="T55" s="78"/>
      <c r="U55" s="78"/>
      <c r="V55" s="78"/>
      <c r="W55" s="78"/>
      <c r="X55" s="78"/>
      <c r="Y55" s="78"/>
      <c r="Z55" s="78"/>
      <c r="AA55" s="78"/>
      <c r="AB55" s="78"/>
      <c r="AC55" s="78"/>
      <c r="AD55" s="78"/>
      <c r="AE55" s="78"/>
      <c r="AF55" s="78"/>
      <c r="AG55" s="78"/>
      <c r="AH55" s="78"/>
      <c r="AI55" s="78"/>
      <c r="AJ55" s="78"/>
      <c r="AK55" s="78"/>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78"/>
      <c r="BJ55" s="78"/>
      <c r="BK55" s="78"/>
      <c r="BL55" s="74" t="str">
        <f>IFERROR(IF(VLOOKUP($CJ$7,'1° PERIODO'!$A$7:$AT$36,CG55)="","-",VLOOKUP($CJ$7,'1° PERIODO'!$A$7:$AT$36,CG55)),"")</f>
        <v>B</v>
      </c>
      <c r="BM55" s="75"/>
      <c r="BN55" s="76"/>
      <c r="BO55" s="42" t="str">
        <f>IFERROR(IF(VLOOKUP($CJ$7,'2° PERIODO'!$A$7:$BV$36,CG55)="","-",VLOOKUP($CJ$7,'2° PERIODO'!$A$7:$BV$36,CG55)),"")</f>
        <v>A</v>
      </c>
      <c r="BP55" s="42"/>
      <c r="BQ55" s="42"/>
      <c r="BR55" s="42" t="str">
        <f>IFERROR(IF(VLOOKUP($CJ$7,'3° PERIODO'!$A$7:$BV$36,CG55)="","-",VLOOKUP($CJ$7,'3° PERIODO'!$A$7:$BV$36,CG55)),"")</f>
        <v>A</v>
      </c>
      <c r="BS55" s="42"/>
      <c r="BT55" s="42"/>
      <c r="BU55" s="42" t="str">
        <f>IFERROR(IF(VLOOKUP($CJ$7,'4° PERIODO'!$A$7:$BV$36,CG55)="","-",VLOOKUP($CJ$7,'4° PERIODO'!$A$7:$BV$36,CG55)),"")</f>
        <v>-</v>
      </c>
      <c r="BV55" s="42"/>
      <c r="BW55" s="42"/>
      <c r="BX55" s="40" t="str" cm="1">
        <f t="array" ref="BX55">IFERROR(_xlfn.XLOOKUP(ROUND(AVERAGE(_xlfn.XLOOKUP(BL55:BW55,{"AD";"A";"B";"C"},{4;3;2;1},"")),0),{4;3;2;1},{"AD";"A";"B";"C"}),"-")</f>
        <v>A</v>
      </c>
      <c r="BY55" s="40"/>
      <c r="BZ55" s="40"/>
      <c r="CA55" s="40"/>
      <c r="CB55" s="40"/>
      <c r="CC55" s="40"/>
      <c r="CD55" s="40"/>
      <c r="CE55" s="40"/>
      <c r="CF55" s="40"/>
      <c r="CG55" s="18">
        <v>7</v>
      </c>
    </row>
    <row r="56" spans="1:85" ht="36" customHeight="1" x14ac:dyDescent="0.25">
      <c r="A56" s="77" t="s">
        <v>88</v>
      </c>
      <c r="B56" s="77"/>
      <c r="C56" s="77"/>
      <c r="D56" s="77"/>
      <c r="E56" s="77"/>
      <c r="F56" s="77"/>
      <c r="G56" s="77"/>
      <c r="H56" s="77"/>
      <c r="I56" s="77"/>
      <c r="J56" s="78" t="s">
        <v>47</v>
      </c>
      <c r="K56" s="78"/>
      <c r="L56" s="78"/>
      <c r="M56" s="78"/>
      <c r="N56" s="78"/>
      <c r="O56" s="78"/>
      <c r="P56" s="78"/>
      <c r="Q56" s="78"/>
      <c r="R56" s="78"/>
      <c r="S56" s="78"/>
      <c r="T56" s="78"/>
      <c r="U56" s="78"/>
      <c r="V56" s="78"/>
      <c r="W56" s="78"/>
      <c r="X56" s="78"/>
      <c r="Y56" s="78"/>
      <c r="Z56" s="78"/>
      <c r="AA56" s="78"/>
      <c r="AB56" s="78"/>
      <c r="AC56" s="78"/>
      <c r="AD56" s="78"/>
      <c r="AE56" s="78"/>
      <c r="AF56" s="78"/>
      <c r="AG56" s="78"/>
      <c r="AH56" s="78"/>
      <c r="AI56" s="78"/>
      <c r="AJ56" s="78"/>
      <c r="AK56" s="78"/>
      <c r="AL56" s="78"/>
      <c r="AM56" s="78"/>
      <c r="AN56" s="78"/>
      <c r="AO56" s="78"/>
      <c r="AP56" s="78"/>
      <c r="AQ56" s="78"/>
      <c r="AR56" s="78"/>
      <c r="AS56" s="78"/>
      <c r="AT56" s="78"/>
      <c r="AU56" s="78"/>
      <c r="AV56" s="78"/>
      <c r="AW56" s="78"/>
      <c r="AX56" s="78"/>
      <c r="AY56" s="78"/>
      <c r="AZ56" s="78"/>
      <c r="BA56" s="78"/>
      <c r="BB56" s="78"/>
      <c r="BC56" s="78"/>
      <c r="BD56" s="78"/>
      <c r="BE56" s="78"/>
      <c r="BF56" s="78"/>
      <c r="BG56" s="78"/>
      <c r="BH56" s="78"/>
      <c r="BI56" s="78"/>
      <c r="BJ56" s="78"/>
      <c r="BK56" s="78"/>
      <c r="BL56" s="74" t="str">
        <f>IFERROR(IF(VLOOKUP($CJ$7,'1° PERIODO'!$A$7:$AT$36,CG56)="","-",VLOOKUP($CJ$7,'1° PERIODO'!$A$7:$AT$36,CG56)),"")</f>
        <v>A</v>
      </c>
      <c r="BM56" s="75"/>
      <c r="BN56" s="76"/>
      <c r="BO56" s="42" t="str">
        <f>IFERROR(IF(VLOOKUP($CJ$7,'2° PERIODO'!$A$7:$BV$36,CG56)="","-",VLOOKUP($CJ$7,'2° PERIODO'!$A$7:$BV$36,CG56)),"")</f>
        <v>A</v>
      </c>
      <c r="BP56" s="42"/>
      <c r="BQ56" s="42"/>
      <c r="BR56" s="42" t="str">
        <f>IFERROR(IF(VLOOKUP($CJ$7,'3° PERIODO'!$A$7:$BV$36,CG56)="","-",VLOOKUP($CJ$7,'3° PERIODO'!$A$7:$BV$36,CG56)),"")</f>
        <v>A</v>
      </c>
      <c r="BS56" s="42"/>
      <c r="BT56" s="42"/>
      <c r="BU56" s="42" t="str">
        <f>IFERROR(IF(VLOOKUP($CJ$7,'4° PERIODO'!$A$7:$BV$36,CG56)="","-",VLOOKUP($CJ$7,'4° PERIODO'!$A$7:$BV$36,CG56)),"")</f>
        <v>A</v>
      </c>
      <c r="BV56" s="42"/>
      <c r="BW56" s="42"/>
      <c r="BX56" s="40" t="str" cm="1">
        <f t="array" ref="BX56">IFERROR(_xlfn.XLOOKUP(ROUND(AVERAGE(_xlfn.XLOOKUP(BL56:BW56,{"AD";"A";"B";"C"},{4;3;2;1},"")),0),{4;3;2;1},{"AD";"A";"B";"C"}),"-")</f>
        <v>A</v>
      </c>
      <c r="BY56" s="40"/>
      <c r="BZ56" s="40"/>
      <c r="CA56" s="40"/>
      <c r="CB56" s="40"/>
      <c r="CC56" s="40"/>
      <c r="CD56" s="40"/>
      <c r="CE56" s="40"/>
      <c r="CF56" s="40"/>
      <c r="CG56" s="18">
        <v>8</v>
      </c>
    </row>
    <row r="57" spans="1:85" ht="14.45" customHeight="1" x14ac:dyDescent="0.25">
      <c r="A57" s="25"/>
      <c r="B57" s="25"/>
      <c r="C57" s="25"/>
      <c r="D57" s="25"/>
      <c r="E57" s="25"/>
      <c r="F57" s="25"/>
      <c r="G57" s="25"/>
      <c r="H57" s="25"/>
      <c r="I57" s="25"/>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c r="AT57" s="29"/>
      <c r="AU57" s="29"/>
      <c r="AV57" s="29"/>
      <c r="AW57" s="29"/>
      <c r="AX57" s="29"/>
      <c r="AY57" s="29"/>
      <c r="AZ57" s="29"/>
      <c r="BA57" s="29"/>
      <c r="BB57" s="29"/>
      <c r="BC57" s="29"/>
      <c r="BD57" s="29"/>
      <c r="BE57" s="29"/>
      <c r="BF57" s="29"/>
      <c r="BG57" s="29"/>
      <c r="BH57" s="29"/>
      <c r="BI57" s="29"/>
      <c r="BJ57" s="29"/>
      <c r="BK57" s="29"/>
      <c r="BL57" s="25"/>
      <c r="BM57" s="25"/>
      <c r="BN57" s="25"/>
      <c r="BO57" s="25"/>
      <c r="BP57" s="25"/>
      <c r="BQ57" s="25"/>
      <c r="BR57" s="25"/>
      <c r="BS57" s="25"/>
      <c r="BT57" s="25"/>
      <c r="BU57" s="25"/>
      <c r="BV57" s="25"/>
      <c r="BW57" s="25"/>
      <c r="BX57" s="21"/>
      <c r="BY57" s="21"/>
      <c r="BZ57" s="21"/>
      <c r="CA57" s="21"/>
      <c r="CB57" s="21"/>
      <c r="CC57" s="21"/>
      <c r="CD57" s="21"/>
      <c r="CE57" s="21"/>
      <c r="CF57" s="21"/>
    </row>
    <row r="58" spans="1:85" ht="14.1" customHeight="1" x14ac:dyDescent="0.25">
      <c r="A58" s="73" t="s">
        <v>68</v>
      </c>
      <c r="B58" s="73"/>
      <c r="C58" s="73"/>
      <c r="D58" s="73"/>
      <c r="E58" s="73"/>
      <c r="F58" s="73"/>
      <c r="G58" s="73"/>
      <c r="H58" s="73"/>
      <c r="I58" s="73"/>
      <c r="J58" s="73"/>
      <c r="K58" s="73"/>
      <c r="L58" s="73"/>
      <c r="M58" s="73"/>
      <c r="N58" s="73"/>
      <c r="O58" s="73"/>
      <c r="P58" s="73"/>
      <c r="Q58" s="73"/>
      <c r="R58" s="73"/>
      <c r="S58" s="73"/>
      <c r="T58" s="73"/>
      <c r="U58" s="73"/>
      <c r="V58" s="73"/>
      <c r="W58" s="73"/>
      <c r="X58" s="73"/>
      <c r="Y58" s="73"/>
      <c r="Z58" s="73"/>
      <c r="AA58" s="73"/>
      <c r="AB58" s="73"/>
      <c r="AC58" s="73"/>
      <c r="AD58" s="73"/>
      <c r="AE58" s="73"/>
      <c r="AF58" s="73"/>
      <c r="AG58" s="73"/>
      <c r="AH58" s="73"/>
      <c r="AI58" s="73"/>
      <c r="AJ58" s="73"/>
      <c r="AK58" s="73"/>
      <c r="AL58" s="73"/>
      <c r="AM58" s="73"/>
      <c r="AN58" s="73"/>
      <c r="AO58" s="73"/>
      <c r="AP58" s="73"/>
      <c r="AQ58" s="73"/>
      <c r="AR58" s="73"/>
      <c r="AS58" s="73"/>
      <c r="AT58" s="73"/>
      <c r="AU58" s="73"/>
      <c r="AV58" s="73"/>
      <c r="AW58" s="73"/>
      <c r="AX58" s="73"/>
      <c r="AY58" s="73"/>
      <c r="AZ58" s="73"/>
      <c r="BA58" s="73"/>
      <c r="BB58" s="73"/>
      <c r="BC58" s="73"/>
      <c r="BD58" s="73"/>
      <c r="BE58" s="73"/>
      <c r="BF58" s="73"/>
      <c r="BG58" s="73"/>
      <c r="BH58" s="73"/>
      <c r="BI58" s="73"/>
      <c r="BJ58" s="73"/>
      <c r="BK58" s="73"/>
      <c r="BL58" s="73"/>
      <c r="BM58" s="73"/>
      <c r="BN58" s="73"/>
      <c r="BO58" s="73"/>
      <c r="BP58" s="73"/>
      <c r="BQ58" s="73"/>
      <c r="BR58" s="73"/>
      <c r="BS58" s="73"/>
      <c r="BT58" s="73"/>
      <c r="BU58" s="73"/>
      <c r="BV58" s="73"/>
      <c r="BW58" s="73"/>
      <c r="BX58" s="73"/>
      <c r="BY58" s="73"/>
      <c r="BZ58" s="73"/>
      <c r="CA58" s="73"/>
      <c r="CB58" s="73"/>
      <c r="CC58" s="73"/>
      <c r="CD58" s="73"/>
      <c r="CE58" s="73"/>
      <c r="CF58" s="73"/>
    </row>
    <row r="60" spans="1:85" x14ac:dyDescent="0.25">
      <c r="A60" s="43" t="s">
        <v>14</v>
      </c>
      <c r="B60" s="43"/>
      <c r="C60" s="43"/>
      <c r="D60" s="43"/>
      <c r="E60" s="43"/>
      <c r="F60" s="43"/>
      <c r="G60" s="43" t="s">
        <v>66</v>
      </c>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t="s">
        <v>48</v>
      </c>
      <c r="BP60" s="43"/>
      <c r="BQ60" s="43"/>
      <c r="BR60" s="43"/>
      <c r="BS60" s="43"/>
      <c r="BT60" s="43"/>
      <c r="BU60" s="43"/>
      <c r="BV60" s="43"/>
      <c r="BW60" s="43"/>
      <c r="BX60" s="43"/>
      <c r="BY60" s="43"/>
      <c r="BZ60" s="43"/>
      <c r="CA60" s="43"/>
      <c r="CB60" s="43"/>
      <c r="CC60" s="43"/>
      <c r="CD60" s="43"/>
      <c r="CE60" s="43"/>
      <c r="CF60" s="43"/>
      <c r="CG60" s="18">
        <v>9</v>
      </c>
    </row>
    <row r="61" spans="1:85" ht="6.6" customHeight="1" x14ac:dyDescent="0.25">
      <c r="A61" s="45" t="s">
        <v>16</v>
      </c>
      <c r="B61" s="46"/>
      <c r="C61" s="46"/>
      <c r="D61" s="46"/>
      <c r="E61" s="46"/>
      <c r="F61" s="47"/>
      <c r="G61" s="54" t="str">
        <f>IFERROR(IF(VLOOKUP($CJ$7,'1° PERIODO'!$A$7:$AT$36,$CG$60)="","",VLOOKUP($CJ$7,'1° PERIODO'!$A$7:$AT$36,$CG$60)),"")</f>
        <v>¡Sigue así, Leydi! Durante este periodo hemos observado como comunicas tus ideas dentro y fuera del aula, también como te gusta pintar y dibujar y expresas tus ideas con soltura. 
Mamita hay que seguir reforzando en casa las rutinas de alimentación y aseo, recuerda también siempre supervisar las actividades de Leydi. ¡Juntas lo vamos a lograr!</v>
      </c>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6"/>
      <c r="BO61" s="31"/>
      <c r="BP61" s="32"/>
      <c r="BQ61" s="32"/>
      <c r="BR61" s="32"/>
      <c r="BS61" s="32"/>
      <c r="BT61" s="32"/>
      <c r="BU61" s="32"/>
      <c r="BV61" s="32"/>
      <c r="BW61" s="32"/>
      <c r="BX61" s="32"/>
      <c r="BY61" s="32"/>
      <c r="BZ61" s="32"/>
      <c r="CA61" s="32"/>
      <c r="CB61" s="32"/>
      <c r="CC61" s="32"/>
      <c r="CD61" s="32"/>
      <c r="CE61" s="32"/>
      <c r="CF61" s="33"/>
    </row>
    <row r="62" spans="1:85" ht="6.6" customHeight="1" x14ac:dyDescent="0.25">
      <c r="A62" s="48"/>
      <c r="B62" s="49"/>
      <c r="C62" s="49"/>
      <c r="D62" s="49"/>
      <c r="E62" s="49"/>
      <c r="F62" s="50"/>
      <c r="G62" s="57"/>
      <c r="H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c r="BA62" s="58"/>
      <c r="BB62" s="58"/>
      <c r="BC62" s="58"/>
      <c r="BD62" s="58"/>
      <c r="BE62" s="58"/>
      <c r="BF62" s="58"/>
      <c r="BG62" s="58"/>
      <c r="BH62" s="58"/>
      <c r="BI62" s="58"/>
      <c r="BJ62" s="58"/>
      <c r="BK62" s="58"/>
      <c r="BL62" s="58"/>
      <c r="BM62" s="58"/>
      <c r="BN62" s="59"/>
      <c r="BO62" s="34"/>
      <c r="BP62" s="35"/>
      <c r="BQ62" s="35"/>
      <c r="BR62" s="35"/>
      <c r="BS62" s="35"/>
      <c r="BT62" s="35"/>
      <c r="BU62" s="35"/>
      <c r="BV62" s="35"/>
      <c r="BW62" s="35"/>
      <c r="BX62" s="35"/>
      <c r="BY62" s="35"/>
      <c r="BZ62" s="35"/>
      <c r="CA62" s="35"/>
      <c r="CB62" s="35"/>
      <c r="CC62" s="35"/>
      <c r="CD62" s="35"/>
      <c r="CE62" s="35"/>
      <c r="CF62" s="36"/>
    </row>
    <row r="63" spans="1:85" ht="6.6" customHeight="1" x14ac:dyDescent="0.25">
      <c r="A63" s="48"/>
      <c r="B63" s="49"/>
      <c r="C63" s="49"/>
      <c r="D63" s="49"/>
      <c r="E63" s="49"/>
      <c r="F63" s="50"/>
      <c r="G63" s="57"/>
      <c r="H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c r="BA63" s="58"/>
      <c r="BB63" s="58"/>
      <c r="BC63" s="58"/>
      <c r="BD63" s="58"/>
      <c r="BE63" s="58"/>
      <c r="BF63" s="58"/>
      <c r="BG63" s="58"/>
      <c r="BH63" s="58"/>
      <c r="BI63" s="58"/>
      <c r="BJ63" s="58"/>
      <c r="BK63" s="58"/>
      <c r="BL63" s="58"/>
      <c r="BM63" s="58"/>
      <c r="BN63" s="59"/>
      <c r="BO63" s="34"/>
      <c r="BP63" s="35"/>
      <c r="BQ63" s="35"/>
      <c r="BR63" s="35"/>
      <c r="BS63" s="35"/>
      <c r="BT63" s="35"/>
      <c r="BU63" s="35"/>
      <c r="BV63" s="35"/>
      <c r="BW63" s="35"/>
      <c r="BX63" s="35"/>
      <c r="BY63" s="35"/>
      <c r="BZ63" s="35"/>
      <c r="CA63" s="35"/>
      <c r="CB63" s="35"/>
      <c r="CC63" s="35"/>
      <c r="CD63" s="35"/>
      <c r="CE63" s="35"/>
      <c r="CF63" s="36"/>
    </row>
    <row r="64" spans="1:85" ht="6.6" customHeight="1" x14ac:dyDescent="0.25">
      <c r="A64" s="48"/>
      <c r="B64" s="49"/>
      <c r="C64" s="49"/>
      <c r="D64" s="49"/>
      <c r="E64" s="49"/>
      <c r="F64" s="50"/>
      <c r="G64" s="57"/>
      <c r="H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c r="BA64" s="58"/>
      <c r="BB64" s="58"/>
      <c r="BC64" s="58"/>
      <c r="BD64" s="58"/>
      <c r="BE64" s="58"/>
      <c r="BF64" s="58"/>
      <c r="BG64" s="58"/>
      <c r="BH64" s="58"/>
      <c r="BI64" s="58"/>
      <c r="BJ64" s="58"/>
      <c r="BK64" s="58"/>
      <c r="BL64" s="58"/>
      <c r="BM64" s="58"/>
      <c r="BN64" s="59"/>
      <c r="BO64" s="34"/>
      <c r="BP64" s="35"/>
      <c r="BQ64" s="35"/>
      <c r="BR64" s="35"/>
      <c r="BS64" s="35"/>
      <c r="BT64" s="35"/>
      <c r="BU64" s="35"/>
      <c r="BV64" s="35"/>
      <c r="BW64" s="35"/>
      <c r="BX64" s="35"/>
      <c r="BY64" s="35"/>
      <c r="BZ64" s="35"/>
      <c r="CA64" s="35"/>
      <c r="CB64" s="35"/>
      <c r="CC64" s="35"/>
      <c r="CD64" s="35"/>
      <c r="CE64" s="35"/>
      <c r="CF64" s="36"/>
    </row>
    <row r="65" spans="1:84" ht="6.6" customHeight="1" x14ac:dyDescent="0.25">
      <c r="A65" s="48"/>
      <c r="B65" s="49"/>
      <c r="C65" s="49"/>
      <c r="D65" s="49"/>
      <c r="E65" s="49"/>
      <c r="F65" s="50"/>
      <c r="G65" s="57"/>
      <c r="H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c r="BA65" s="58"/>
      <c r="BB65" s="58"/>
      <c r="BC65" s="58"/>
      <c r="BD65" s="58"/>
      <c r="BE65" s="58"/>
      <c r="BF65" s="58"/>
      <c r="BG65" s="58"/>
      <c r="BH65" s="58"/>
      <c r="BI65" s="58"/>
      <c r="BJ65" s="58"/>
      <c r="BK65" s="58"/>
      <c r="BL65" s="58"/>
      <c r="BM65" s="58"/>
      <c r="BN65" s="59"/>
      <c r="BO65" s="34"/>
      <c r="BP65" s="35"/>
      <c r="BQ65" s="35"/>
      <c r="BR65" s="35"/>
      <c r="BS65" s="35"/>
      <c r="BT65" s="35"/>
      <c r="BU65" s="35"/>
      <c r="BV65" s="35"/>
      <c r="BW65" s="35"/>
      <c r="BX65" s="35"/>
      <c r="BY65" s="35"/>
      <c r="BZ65" s="35"/>
      <c r="CA65" s="35"/>
      <c r="CB65" s="35"/>
      <c r="CC65" s="35"/>
      <c r="CD65" s="35"/>
      <c r="CE65" s="35"/>
      <c r="CF65" s="36"/>
    </row>
    <row r="66" spans="1:84" ht="6.6" customHeight="1" x14ac:dyDescent="0.25">
      <c r="A66" s="48"/>
      <c r="B66" s="49"/>
      <c r="C66" s="49"/>
      <c r="D66" s="49"/>
      <c r="E66" s="49"/>
      <c r="F66" s="50"/>
      <c r="G66" s="57"/>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9"/>
      <c r="BO66" s="34"/>
      <c r="BP66" s="35"/>
      <c r="BQ66" s="35"/>
      <c r="BR66" s="35"/>
      <c r="BS66" s="35"/>
      <c r="BT66" s="35"/>
      <c r="BU66" s="35"/>
      <c r="BV66" s="35"/>
      <c r="BW66" s="35"/>
      <c r="BX66" s="35"/>
      <c r="BY66" s="35"/>
      <c r="BZ66" s="35"/>
      <c r="CA66" s="35"/>
      <c r="CB66" s="35"/>
      <c r="CC66" s="35"/>
      <c r="CD66" s="35"/>
      <c r="CE66" s="35"/>
      <c r="CF66" s="36"/>
    </row>
    <row r="67" spans="1:84" ht="6.6" customHeight="1" x14ac:dyDescent="0.25">
      <c r="A67" s="48"/>
      <c r="B67" s="49"/>
      <c r="C67" s="49"/>
      <c r="D67" s="49"/>
      <c r="E67" s="49"/>
      <c r="F67" s="50"/>
      <c r="G67" s="57"/>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9"/>
      <c r="BO67" s="34"/>
      <c r="BP67" s="35"/>
      <c r="BQ67" s="35"/>
      <c r="BR67" s="35"/>
      <c r="BS67" s="35"/>
      <c r="BT67" s="35"/>
      <c r="BU67" s="35"/>
      <c r="BV67" s="35"/>
      <c r="BW67" s="35"/>
      <c r="BX67" s="35"/>
      <c r="BY67" s="35"/>
      <c r="BZ67" s="35"/>
      <c r="CA67" s="35"/>
      <c r="CB67" s="35"/>
      <c r="CC67" s="35"/>
      <c r="CD67" s="35"/>
      <c r="CE67" s="35"/>
      <c r="CF67" s="36"/>
    </row>
    <row r="68" spans="1:84" ht="6.6" customHeight="1" x14ac:dyDescent="0.25">
      <c r="A68" s="48"/>
      <c r="B68" s="49"/>
      <c r="C68" s="49"/>
      <c r="D68" s="49"/>
      <c r="E68" s="49"/>
      <c r="F68" s="50"/>
      <c r="G68" s="57"/>
      <c r="H68" s="58"/>
      <c r="I68" s="5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9"/>
      <c r="BO68" s="34"/>
      <c r="BP68" s="35"/>
      <c r="BQ68" s="35"/>
      <c r="BR68" s="35"/>
      <c r="BS68" s="35"/>
      <c r="BT68" s="35"/>
      <c r="BU68" s="35"/>
      <c r="BV68" s="35"/>
      <c r="BW68" s="35"/>
      <c r="BX68" s="35"/>
      <c r="BY68" s="35"/>
      <c r="BZ68" s="35"/>
      <c r="CA68" s="35"/>
      <c r="CB68" s="35"/>
      <c r="CC68" s="35"/>
      <c r="CD68" s="35"/>
      <c r="CE68" s="35"/>
      <c r="CF68" s="36"/>
    </row>
    <row r="69" spans="1:84" ht="6.6" customHeight="1" x14ac:dyDescent="0.25">
      <c r="A69" s="48"/>
      <c r="B69" s="49"/>
      <c r="C69" s="49"/>
      <c r="D69" s="49"/>
      <c r="E69" s="49"/>
      <c r="F69" s="50"/>
      <c r="G69" s="57"/>
      <c r="H69" s="58"/>
      <c r="I69" s="5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c r="BA69" s="58"/>
      <c r="BB69" s="58"/>
      <c r="BC69" s="58"/>
      <c r="BD69" s="58"/>
      <c r="BE69" s="58"/>
      <c r="BF69" s="58"/>
      <c r="BG69" s="58"/>
      <c r="BH69" s="58"/>
      <c r="BI69" s="58"/>
      <c r="BJ69" s="58"/>
      <c r="BK69" s="58"/>
      <c r="BL69" s="58"/>
      <c r="BM69" s="58"/>
      <c r="BN69" s="59"/>
      <c r="BO69" s="34"/>
      <c r="BP69" s="35"/>
      <c r="BQ69" s="35"/>
      <c r="BR69" s="35"/>
      <c r="BS69" s="35"/>
      <c r="BT69" s="35"/>
      <c r="BU69" s="35"/>
      <c r="BV69" s="35"/>
      <c r="BW69" s="35"/>
      <c r="BX69" s="35"/>
      <c r="BY69" s="35"/>
      <c r="BZ69" s="35"/>
      <c r="CA69" s="35"/>
      <c r="CB69" s="35"/>
      <c r="CC69" s="35"/>
      <c r="CD69" s="35"/>
      <c r="CE69" s="35"/>
      <c r="CF69" s="36"/>
    </row>
    <row r="70" spans="1:84" ht="6.6" customHeight="1" x14ac:dyDescent="0.25">
      <c r="A70" s="48"/>
      <c r="B70" s="49"/>
      <c r="C70" s="49"/>
      <c r="D70" s="49"/>
      <c r="E70" s="49"/>
      <c r="F70" s="50"/>
      <c r="G70" s="57"/>
      <c r="H70" s="58"/>
      <c r="I70" s="5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c r="BA70" s="58"/>
      <c r="BB70" s="58"/>
      <c r="BC70" s="58"/>
      <c r="BD70" s="58"/>
      <c r="BE70" s="58"/>
      <c r="BF70" s="58"/>
      <c r="BG70" s="58"/>
      <c r="BH70" s="58"/>
      <c r="BI70" s="58"/>
      <c r="BJ70" s="58"/>
      <c r="BK70" s="58"/>
      <c r="BL70" s="58"/>
      <c r="BM70" s="58"/>
      <c r="BN70" s="59"/>
      <c r="BO70" s="34"/>
      <c r="BP70" s="35"/>
      <c r="BQ70" s="35"/>
      <c r="BR70" s="35"/>
      <c r="BS70" s="35"/>
      <c r="BT70" s="35"/>
      <c r="BU70" s="35"/>
      <c r="BV70" s="35"/>
      <c r="BW70" s="35"/>
      <c r="BX70" s="35"/>
      <c r="BY70" s="35"/>
      <c r="BZ70" s="35"/>
      <c r="CA70" s="35"/>
      <c r="CB70" s="35"/>
      <c r="CC70" s="35"/>
      <c r="CD70" s="35"/>
      <c r="CE70" s="35"/>
      <c r="CF70" s="36"/>
    </row>
    <row r="71" spans="1:84" ht="6.6" customHeight="1" x14ac:dyDescent="0.25">
      <c r="A71" s="48"/>
      <c r="B71" s="49"/>
      <c r="C71" s="49"/>
      <c r="D71" s="49"/>
      <c r="E71" s="49"/>
      <c r="F71" s="50"/>
      <c r="G71" s="57"/>
      <c r="H71" s="58"/>
      <c r="I71" s="5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c r="BA71" s="58"/>
      <c r="BB71" s="58"/>
      <c r="BC71" s="58"/>
      <c r="BD71" s="58"/>
      <c r="BE71" s="58"/>
      <c r="BF71" s="58"/>
      <c r="BG71" s="58"/>
      <c r="BH71" s="58"/>
      <c r="BI71" s="58"/>
      <c r="BJ71" s="58"/>
      <c r="BK71" s="58"/>
      <c r="BL71" s="58"/>
      <c r="BM71" s="58"/>
      <c r="BN71" s="59"/>
      <c r="BO71" s="34"/>
      <c r="BP71" s="35"/>
      <c r="BQ71" s="35"/>
      <c r="BR71" s="35"/>
      <c r="BS71" s="35"/>
      <c r="BT71" s="35"/>
      <c r="BU71" s="35"/>
      <c r="BV71" s="35"/>
      <c r="BW71" s="35"/>
      <c r="BX71" s="35"/>
      <c r="BY71" s="35"/>
      <c r="BZ71" s="35"/>
      <c r="CA71" s="35"/>
      <c r="CB71" s="35"/>
      <c r="CC71" s="35"/>
      <c r="CD71" s="35"/>
      <c r="CE71" s="35"/>
      <c r="CF71" s="36"/>
    </row>
    <row r="72" spans="1:84" ht="6.6" customHeight="1" x14ac:dyDescent="0.25">
      <c r="A72" s="48"/>
      <c r="B72" s="49"/>
      <c r="C72" s="49"/>
      <c r="D72" s="49"/>
      <c r="E72" s="49"/>
      <c r="F72" s="50"/>
      <c r="G72" s="57"/>
      <c r="H72" s="58"/>
      <c r="I72" s="5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c r="BA72" s="58"/>
      <c r="BB72" s="58"/>
      <c r="BC72" s="58"/>
      <c r="BD72" s="58"/>
      <c r="BE72" s="58"/>
      <c r="BF72" s="58"/>
      <c r="BG72" s="58"/>
      <c r="BH72" s="58"/>
      <c r="BI72" s="58"/>
      <c r="BJ72" s="58"/>
      <c r="BK72" s="58"/>
      <c r="BL72" s="58"/>
      <c r="BM72" s="58"/>
      <c r="BN72" s="59"/>
      <c r="BO72" s="34"/>
      <c r="BP72" s="35"/>
      <c r="BQ72" s="35"/>
      <c r="BR72" s="35"/>
      <c r="BS72" s="35"/>
      <c r="BT72" s="35"/>
      <c r="BU72" s="35"/>
      <c r="BV72" s="35"/>
      <c r="BW72" s="35"/>
      <c r="BX72" s="35"/>
      <c r="BY72" s="35"/>
      <c r="BZ72" s="35"/>
      <c r="CA72" s="35"/>
      <c r="CB72" s="35"/>
      <c r="CC72" s="35"/>
      <c r="CD72" s="35"/>
      <c r="CE72" s="35"/>
      <c r="CF72" s="36"/>
    </row>
    <row r="73" spans="1:84" ht="6.6" customHeight="1" x14ac:dyDescent="0.25">
      <c r="A73" s="48"/>
      <c r="B73" s="49"/>
      <c r="C73" s="49"/>
      <c r="D73" s="49"/>
      <c r="E73" s="49"/>
      <c r="F73" s="50"/>
      <c r="G73" s="57"/>
      <c r="H73" s="58"/>
      <c r="I73" s="5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c r="BA73" s="58"/>
      <c r="BB73" s="58"/>
      <c r="BC73" s="58"/>
      <c r="BD73" s="58"/>
      <c r="BE73" s="58"/>
      <c r="BF73" s="58"/>
      <c r="BG73" s="58"/>
      <c r="BH73" s="58"/>
      <c r="BI73" s="58"/>
      <c r="BJ73" s="58"/>
      <c r="BK73" s="58"/>
      <c r="BL73" s="58"/>
      <c r="BM73" s="58"/>
      <c r="BN73" s="59"/>
      <c r="BO73" s="34"/>
      <c r="BP73" s="35"/>
      <c r="BQ73" s="35"/>
      <c r="BR73" s="35"/>
      <c r="BS73" s="35"/>
      <c r="BT73" s="35"/>
      <c r="BU73" s="35"/>
      <c r="BV73" s="35"/>
      <c r="BW73" s="35"/>
      <c r="BX73" s="35"/>
      <c r="BY73" s="35"/>
      <c r="BZ73" s="35"/>
      <c r="CA73" s="35"/>
      <c r="CB73" s="35"/>
      <c r="CC73" s="35"/>
      <c r="CD73" s="35"/>
      <c r="CE73" s="35"/>
      <c r="CF73" s="36"/>
    </row>
    <row r="74" spans="1:84" ht="6.6" customHeight="1" x14ac:dyDescent="0.25">
      <c r="A74" s="48"/>
      <c r="B74" s="49"/>
      <c r="C74" s="49"/>
      <c r="D74" s="49"/>
      <c r="E74" s="49"/>
      <c r="F74" s="50"/>
      <c r="G74" s="57"/>
      <c r="H74" s="58"/>
      <c r="I74" s="5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c r="BA74" s="58"/>
      <c r="BB74" s="58"/>
      <c r="BC74" s="58"/>
      <c r="BD74" s="58"/>
      <c r="BE74" s="58"/>
      <c r="BF74" s="58"/>
      <c r="BG74" s="58"/>
      <c r="BH74" s="58"/>
      <c r="BI74" s="58"/>
      <c r="BJ74" s="58"/>
      <c r="BK74" s="58"/>
      <c r="BL74" s="58"/>
      <c r="BM74" s="58"/>
      <c r="BN74" s="59"/>
      <c r="BO74" s="34"/>
      <c r="BP74" s="35"/>
      <c r="BQ74" s="35"/>
      <c r="BR74" s="35"/>
      <c r="BS74" s="35"/>
      <c r="BT74" s="35"/>
      <c r="BU74" s="35"/>
      <c r="BV74" s="35"/>
      <c r="BW74" s="35"/>
      <c r="BX74" s="35"/>
      <c r="BY74" s="35"/>
      <c r="BZ74" s="35"/>
      <c r="CA74" s="35"/>
      <c r="CB74" s="35"/>
      <c r="CC74" s="35"/>
      <c r="CD74" s="35"/>
      <c r="CE74" s="35"/>
      <c r="CF74" s="36"/>
    </row>
    <row r="75" spans="1:84" ht="6.6" customHeight="1" x14ac:dyDescent="0.25">
      <c r="A75" s="48"/>
      <c r="B75" s="49"/>
      <c r="C75" s="49"/>
      <c r="D75" s="49"/>
      <c r="E75" s="49"/>
      <c r="F75" s="50"/>
      <c r="G75" s="57"/>
      <c r="H75" s="58"/>
      <c r="I75" s="5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c r="BA75" s="58"/>
      <c r="BB75" s="58"/>
      <c r="BC75" s="58"/>
      <c r="BD75" s="58"/>
      <c r="BE75" s="58"/>
      <c r="BF75" s="58"/>
      <c r="BG75" s="58"/>
      <c r="BH75" s="58"/>
      <c r="BI75" s="58"/>
      <c r="BJ75" s="58"/>
      <c r="BK75" s="58"/>
      <c r="BL75" s="58"/>
      <c r="BM75" s="58"/>
      <c r="BN75" s="59"/>
      <c r="BO75" s="34"/>
      <c r="BP75" s="35"/>
      <c r="BQ75" s="35"/>
      <c r="BR75" s="35"/>
      <c r="BS75" s="35"/>
      <c r="BT75" s="35"/>
      <c r="BU75" s="35"/>
      <c r="BV75" s="35"/>
      <c r="BW75" s="35"/>
      <c r="BX75" s="35"/>
      <c r="BY75" s="35"/>
      <c r="BZ75" s="35"/>
      <c r="CA75" s="35"/>
      <c r="CB75" s="35"/>
      <c r="CC75" s="35"/>
      <c r="CD75" s="35"/>
      <c r="CE75" s="35"/>
      <c r="CF75" s="36"/>
    </row>
    <row r="76" spans="1:84" ht="6.6" customHeight="1" x14ac:dyDescent="0.25">
      <c r="A76" s="48"/>
      <c r="B76" s="49"/>
      <c r="C76" s="49"/>
      <c r="D76" s="49"/>
      <c r="E76" s="49"/>
      <c r="F76" s="50"/>
      <c r="G76" s="57"/>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c r="BM76" s="58"/>
      <c r="BN76" s="59"/>
      <c r="BO76" s="34"/>
      <c r="BP76" s="35"/>
      <c r="BQ76" s="35"/>
      <c r="BR76" s="35"/>
      <c r="BS76" s="35"/>
      <c r="BT76" s="35"/>
      <c r="BU76" s="35"/>
      <c r="BV76" s="35"/>
      <c r="BW76" s="35"/>
      <c r="BX76" s="35"/>
      <c r="BY76" s="35"/>
      <c r="BZ76" s="35"/>
      <c r="CA76" s="35"/>
      <c r="CB76" s="35"/>
      <c r="CC76" s="35"/>
      <c r="CD76" s="35"/>
      <c r="CE76" s="35"/>
      <c r="CF76" s="36"/>
    </row>
    <row r="77" spans="1:84" ht="6.6" customHeight="1" x14ac:dyDescent="0.25">
      <c r="A77" s="48"/>
      <c r="B77" s="49"/>
      <c r="C77" s="49"/>
      <c r="D77" s="49"/>
      <c r="E77" s="49"/>
      <c r="F77" s="50"/>
      <c r="G77" s="57"/>
      <c r="H77" s="58"/>
      <c r="I77" s="5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c r="BA77" s="58"/>
      <c r="BB77" s="58"/>
      <c r="BC77" s="58"/>
      <c r="BD77" s="58"/>
      <c r="BE77" s="58"/>
      <c r="BF77" s="58"/>
      <c r="BG77" s="58"/>
      <c r="BH77" s="58"/>
      <c r="BI77" s="58"/>
      <c r="BJ77" s="58"/>
      <c r="BK77" s="58"/>
      <c r="BL77" s="58"/>
      <c r="BM77" s="58"/>
      <c r="BN77" s="59"/>
      <c r="BO77" s="34"/>
      <c r="BP77" s="35"/>
      <c r="BQ77" s="35"/>
      <c r="BR77" s="35"/>
      <c r="BS77" s="35"/>
      <c r="BT77" s="35"/>
      <c r="BU77" s="35"/>
      <c r="BV77" s="35"/>
      <c r="BW77" s="35"/>
      <c r="BX77" s="35"/>
      <c r="BY77" s="35"/>
      <c r="BZ77" s="35"/>
      <c r="CA77" s="35"/>
      <c r="CB77" s="35"/>
      <c r="CC77" s="35"/>
      <c r="CD77" s="35"/>
      <c r="CE77" s="35"/>
      <c r="CF77" s="36"/>
    </row>
    <row r="78" spans="1:84" ht="6.6" customHeight="1" x14ac:dyDescent="0.25">
      <c r="A78" s="51"/>
      <c r="B78" s="52"/>
      <c r="C78" s="52"/>
      <c r="D78" s="52"/>
      <c r="E78" s="52"/>
      <c r="F78" s="53"/>
      <c r="G78" s="60"/>
      <c r="H78" s="61"/>
      <c r="I78" s="61"/>
      <c r="J78" s="61"/>
      <c r="K78" s="61"/>
      <c r="L78" s="61"/>
      <c r="M78" s="61"/>
      <c r="N78" s="61"/>
      <c r="O78" s="61"/>
      <c r="P78" s="61"/>
      <c r="Q78" s="61"/>
      <c r="R78" s="61"/>
      <c r="S78" s="61"/>
      <c r="T78" s="61"/>
      <c r="U78" s="61"/>
      <c r="V78" s="61"/>
      <c r="W78" s="61"/>
      <c r="X78" s="61"/>
      <c r="Y78" s="61"/>
      <c r="Z78" s="61"/>
      <c r="AA78" s="61"/>
      <c r="AB78" s="61"/>
      <c r="AC78" s="61"/>
      <c r="AD78" s="61"/>
      <c r="AE78" s="61"/>
      <c r="AF78" s="61"/>
      <c r="AG78" s="61"/>
      <c r="AH78" s="61"/>
      <c r="AI78" s="61"/>
      <c r="AJ78" s="61"/>
      <c r="AK78" s="61"/>
      <c r="AL78" s="61"/>
      <c r="AM78" s="61"/>
      <c r="AN78" s="61"/>
      <c r="AO78" s="61"/>
      <c r="AP78" s="61"/>
      <c r="AQ78" s="61"/>
      <c r="AR78" s="61"/>
      <c r="AS78" s="61"/>
      <c r="AT78" s="61"/>
      <c r="AU78" s="61"/>
      <c r="AV78" s="61"/>
      <c r="AW78" s="61"/>
      <c r="AX78" s="61"/>
      <c r="AY78" s="61"/>
      <c r="AZ78" s="61"/>
      <c r="BA78" s="61"/>
      <c r="BB78" s="61"/>
      <c r="BC78" s="61"/>
      <c r="BD78" s="61"/>
      <c r="BE78" s="61"/>
      <c r="BF78" s="61"/>
      <c r="BG78" s="61"/>
      <c r="BH78" s="61"/>
      <c r="BI78" s="61"/>
      <c r="BJ78" s="61"/>
      <c r="BK78" s="61"/>
      <c r="BL78" s="61"/>
      <c r="BM78" s="61"/>
      <c r="BN78" s="62"/>
      <c r="BO78" s="37"/>
      <c r="BP78" s="38"/>
      <c r="BQ78" s="38"/>
      <c r="BR78" s="38"/>
      <c r="BS78" s="38"/>
      <c r="BT78" s="38"/>
      <c r="BU78" s="38"/>
      <c r="BV78" s="38"/>
      <c r="BW78" s="38"/>
      <c r="BX78" s="38"/>
      <c r="BY78" s="38"/>
      <c r="BZ78" s="38"/>
      <c r="CA78" s="38"/>
      <c r="CB78" s="38"/>
      <c r="CC78" s="38"/>
      <c r="CD78" s="38"/>
      <c r="CE78" s="38"/>
      <c r="CF78" s="39"/>
    </row>
    <row r="79" spans="1:84" ht="6.6" customHeight="1" x14ac:dyDescent="0.25">
      <c r="A79" s="45" t="s">
        <v>17</v>
      </c>
      <c r="B79" s="46"/>
      <c r="C79" s="46"/>
      <c r="D79" s="46"/>
      <c r="E79" s="46"/>
      <c r="F79" s="47"/>
      <c r="G79" s="54" t="str">
        <f>IFERROR(IF(VLOOKUP($CJ$7,'2° PERIODO'!$A$7:$BV$36,$CG$60)="","",VLOOKUP($CJ$7,'2° PERIODO'!$A$7:$BV$36,$CG$60)),"")</f>
        <v>¡Buen trabajo Leydi! Vemos que te gusta mucho venir al colegio. Usas el lápiz, las tijeras y la goma de manera correcta. Reconoces muy bien las partes del rostro y logras dibujarlo muy bien. ¡Estamos muy orgullosas de ti! 
Mamita y papito, Leydi es una niña con mucho potencial y vemos un gran avance en su comportamiento y habilidades en los últimos meses, sin embargo, hay que reforzar en casa las rutinas de alimentación y de orden; como Leydi faltó mucho este semestre, es importante cuidar su salud. Seguimos mejorando las habilidades de socilización y comunicativas el próximo semestre con mucha motivación y cariño.</v>
      </c>
      <c r="H79" s="55"/>
      <c r="I79" s="55"/>
      <c r="J79" s="55"/>
      <c r="K79" s="55"/>
      <c r="L79" s="55"/>
      <c r="M79" s="55"/>
      <c r="N79" s="55"/>
      <c r="O79" s="55"/>
      <c r="P79" s="55"/>
      <c r="Q79" s="55"/>
      <c r="R79" s="55"/>
      <c r="S79" s="55"/>
      <c r="T79" s="55"/>
      <c r="U79" s="55"/>
      <c r="V79" s="55"/>
      <c r="W79" s="55"/>
      <c r="X79" s="55"/>
      <c r="Y79" s="55"/>
      <c r="Z79" s="55"/>
      <c r="AA79" s="55"/>
      <c r="AB79" s="55"/>
      <c r="AC79" s="55"/>
      <c r="AD79" s="55"/>
      <c r="AE79" s="55"/>
      <c r="AF79" s="55"/>
      <c r="AG79" s="55"/>
      <c r="AH79" s="55"/>
      <c r="AI79" s="55"/>
      <c r="AJ79" s="55"/>
      <c r="AK79" s="55"/>
      <c r="AL79" s="55"/>
      <c r="AM79" s="55"/>
      <c r="AN79" s="55"/>
      <c r="AO79" s="55"/>
      <c r="AP79" s="55"/>
      <c r="AQ79" s="55"/>
      <c r="AR79" s="55"/>
      <c r="AS79" s="55"/>
      <c r="AT79" s="55"/>
      <c r="AU79" s="55"/>
      <c r="AV79" s="55"/>
      <c r="AW79" s="55"/>
      <c r="AX79" s="55"/>
      <c r="AY79" s="55"/>
      <c r="AZ79" s="55"/>
      <c r="BA79" s="55"/>
      <c r="BB79" s="55"/>
      <c r="BC79" s="55"/>
      <c r="BD79" s="55"/>
      <c r="BE79" s="55"/>
      <c r="BF79" s="55"/>
      <c r="BG79" s="55"/>
      <c r="BH79" s="55"/>
      <c r="BI79" s="55"/>
      <c r="BJ79" s="55"/>
      <c r="BK79" s="55"/>
      <c r="BL79" s="55"/>
      <c r="BM79" s="55"/>
      <c r="BN79" s="56"/>
      <c r="BO79" s="31"/>
      <c r="BP79" s="32"/>
      <c r="BQ79" s="32"/>
      <c r="BR79" s="32"/>
      <c r="BS79" s="32"/>
      <c r="BT79" s="32"/>
      <c r="BU79" s="32"/>
      <c r="BV79" s="32"/>
      <c r="BW79" s="32"/>
      <c r="BX79" s="32"/>
      <c r="BY79" s="32"/>
      <c r="BZ79" s="32"/>
      <c r="CA79" s="32"/>
      <c r="CB79" s="32"/>
      <c r="CC79" s="32"/>
      <c r="CD79" s="32"/>
      <c r="CE79" s="32"/>
      <c r="CF79" s="33"/>
    </row>
    <row r="80" spans="1:84" ht="6.6" customHeight="1" x14ac:dyDescent="0.25">
      <c r="A80" s="48"/>
      <c r="B80" s="49"/>
      <c r="C80" s="49"/>
      <c r="D80" s="49"/>
      <c r="E80" s="49"/>
      <c r="F80" s="50"/>
      <c r="G80" s="57"/>
      <c r="H80" s="58"/>
      <c r="I80" s="5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c r="BA80" s="58"/>
      <c r="BB80" s="58"/>
      <c r="BC80" s="58"/>
      <c r="BD80" s="58"/>
      <c r="BE80" s="58"/>
      <c r="BF80" s="58"/>
      <c r="BG80" s="58"/>
      <c r="BH80" s="58"/>
      <c r="BI80" s="58"/>
      <c r="BJ80" s="58"/>
      <c r="BK80" s="58"/>
      <c r="BL80" s="58"/>
      <c r="BM80" s="58"/>
      <c r="BN80" s="59"/>
      <c r="BO80" s="34"/>
      <c r="BP80" s="35"/>
      <c r="BQ80" s="35"/>
      <c r="BR80" s="35"/>
      <c r="BS80" s="35"/>
      <c r="BT80" s="35"/>
      <c r="BU80" s="35"/>
      <c r="BV80" s="35"/>
      <c r="BW80" s="35"/>
      <c r="BX80" s="35"/>
      <c r="BY80" s="35"/>
      <c r="BZ80" s="35"/>
      <c r="CA80" s="35"/>
      <c r="CB80" s="35"/>
      <c r="CC80" s="35"/>
      <c r="CD80" s="35"/>
      <c r="CE80" s="35"/>
      <c r="CF80" s="36"/>
    </row>
    <row r="81" spans="1:85" ht="6.6" customHeight="1" x14ac:dyDescent="0.25">
      <c r="A81" s="48"/>
      <c r="B81" s="49"/>
      <c r="C81" s="49"/>
      <c r="D81" s="49"/>
      <c r="E81" s="49"/>
      <c r="F81" s="50"/>
      <c r="G81" s="57"/>
      <c r="H81" s="58"/>
      <c r="I81" s="5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c r="BA81" s="58"/>
      <c r="BB81" s="58"/>
      <c r="BC81" s="58"/>
      <c r="BD81" s="58"/>
      <c r="BE81" s="58"/>
      <c r="BF81" s="58"/>
      <c r="BG81" s="58"/>
      <c r="BH81" s="58"/>
      <c r="BI81" s="58"/>
      <c r="BJ81" s="58"/>
      <c r="BK81" s="58"/>
      <c r="BL81" s="58"/>
      <c r="BM81" s="58"/>
      <c r="BN81" s="59"/>
      <c r="BO81" s="34"/>
      <c r="BP81" s="35"/>
      <c r="BQ81" s="35"/>
      <c r="BR81" s="35"/>
      <c r="BS81" s="35"/>
      <c r="BT81" s="35"/>
      <c r="BU81" s="35"/>
      <c r="BV81" s="35"/>
      <c r="BW81" s="35"/>
      <c r="BX81" s="35"/>
      <c r="BY81" s="35"/>
      <c r="BZ81" s="35"/>
      <c r="CA81" s="35"/>
      <c r="CB81" s="35"/>
      <c r="CC81" s="35"/>
      <c r="CD81" s="35"/>
      <c r="CE81" s="35"/>
      <c r="CF81" s="36"/>
    </row>
    <row r="82" spans="1:85" ht="6.6" customHeight="1" x14ac:dyDescent="0.25">
      <c r="A82" s="48"/>
      <c r="B82" s="49"/>
      <c r="C82" s="49"/>
      <c r="D82" s="49"/>
      <c r="E82" s="49"/>
      <c r="F82" s="50"/>
      <c r="G82" s="57"/>
      <c r="H82" s="58"/>
      <c r="I82" s="5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c r="BA82" s="58"/>
      <c r="BB82" s="58"/>
      <c r="BC82" s="58"/>
      <c r="BD82" s="58"/>
      <c r="BE82" s="58"/>
      <c r="BF82" s="58"/>
      <c r="BG82" s="58"/>
      <c r="BH82" s="58"/>
      <c r="BI82" s="58"/>
      <c r="BJ82" s="58"/>
      <c r="BK82" s="58"/>
      <c r="BL82" s="58"/>
      <c r="BM82" s="58"/>
      <c r="BN82" s="59"/>
      <c r="BO82" s="34"/>
      <c r="BP82" s="35"/>
      <c r="BQ82" s="35"/>
      <c r="BR82" s="35"/>
      <c r="BS82" s="35"/>
      <c r="BT82" s="35"/>
      <c r="BU82" s="35"/>
      <c r="BV82" s="35"/>
      <c r="BW82" s="35"/>
      <c r="BX82" s="35"/>
      <c r="BY82" s="35"/>
      <c r="BZ82" s="35"/>
      <c r="CA82" s="35"/>
      <c r="CB82" s="35"/>
      <c r="CC82" s="35"/>
      <c r="CD82" s="35"/>
      <c r="CE82" s="35"/>
      <c r="CF82" s="36"/>
    </row>
    <row r="83" spans="1:85" ht="6.6" customHeight="1" x14ac:dyDescent="0.25">
      <c r="A83" s="48"/>
      <c r="B83" s="49"/>
      <c r="C83" s="49"/>
      <c r="D83" s="49"/>
      <c r="E83" s="49"/>
      <c r="F83" s="50"/>
      <c r="G83" s="57"/>
      <c r="H83" s="58"/>
      <c r="I83" s="5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c r="BA83" s="58"/>
      <c r="BB83" s="58"/>
      <c r="BC83" s="58"/>
      <c r="BD83" s="58"/>
      <c r="BE83" s="58"/>
      <c r="BF83" s="58"/>
      <c r="BG83" s="58"/>
      <c r="BH83" s="58"/>
      <c r="BI83" s="58"/>
      <c r="BJ83" s="58"/>
      <c r="BK83" s="58"/>
      <c r="BL83" s="58"/>
      <c r="BM83" s="58"/>
      <c r="BN83" s="59"/>
      <c r="BO83" s="34"/>
      <c r="BP83" s="35"/>
      <c r="BQ83" s="35"/>
      <c r="BR83" s="35"/>
      <c r="BS83" s="35"/>
      <c r="BT83" s="35"/>
      <c r="BU83" s="35"/>
      <c r="BV83" s="35"/>
      <c r="BW83" s="35"/>
      <c r="BX83" s="35"/>
      <c r="BY83" s="35"/>
      <c r="BZ83" s="35"/>
      <c r="CA83" s="35"/>
      <c r="CB83" s="35"/>
      <c r="CC83" s="35"/>
      <c r="CD83" s="35"/>
      <c r="CE83" s="35"/>
      <c r="CF83" s="36"/>
    </row>
    <row r="84" spans="1:85" ht="6.6" customHeight="1" x14ac:dyDescent="0.25">
      <c r="A84" s="48"/>
      <c r="B84" s="49"/>
      <c r="C84" s="49"/>
      <c r="D84" s="49"/>
      <c r="E84" s="49"/>
      <c r="F84" s="50"/>
      <c r="G84" s="57"/>
      <c r="H84" s="58"/>
      <c r="I84" s="5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c r="BA84" s="58"/>
      <c r="BB84" s="58"/>
      <c r="BC84" s="58"/>
      <c r="BD84" s="58"/>
      <c r="BE84" s="58"/>
      <c r="BF84" s="58"/>
      <c r="BG84" s="58"/>
      <c r="BH84" s="58"/>
      <c r="BI84" s="58"/>
      <c r="BJ84" s="58"/>
      <c r="BK84" s="58"/>
      <c r="BL84" s="58"/>
      <c r="BM84" s="58"/>
      <c r="BN84" s="59"/>
      <c r="BO84" s="34"/>
      <c r="BP84" s="35"/>
      <c r="BQ84" s="35"/>
      <c r="BR84" s="35"/>
      <c r="BS84" s="35"/>
      <c r="BT84" s="35"/>
      <c r="BU84" s="35"/>
      <c r="BV84" s="35"/>
      <c r="BW84" s="35"/>
      <c r="BX84" s="35"/>
      <c r="BY84" s="35"/>
      <c r="BZ84" s="35"/>
      <c r="CA84" s="35"/>
      <c r="CB84" s="35"/>
      <c r="CC84" s="35"/>
      <c r="CD84" s="35"/>
      <c r="CE84" s="35"/>
      <c r="CF84" s="36"/>
    </row>
    <row r="85" spans="1:85" ht="6.6" customHeight="1" x14ac:dyDescent="0.25">
      <c r="A85" s="48"/>
      <c r="B85" s="49"/>
      <c r="C85" s="49"/>
      <c r="D85" s="49"/>
      <c r="E85" s="49"/>
      <c r="F85" s="50"/>
      <c r="G85" s="57"/>
      <c r="H85" s="58"/>
      <c r="I85" s="5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c r="BA85" s="58"/>
      <c r="BB85" s="58"/>
      <c r="BC85" s="58"/>
      <c r="BD85" s="58"/>
      <c r="BE85" s="58"/>
      <c r="BF85" s="58"/>
      <c r="BG85" s="58"/>
      <c r="BH85" s="58"/>
      <c r="BI85" s="58"/>
      <c r="BJ85" s="58"/>
      <c r="BK85" s="58"/>
      <c r="BL85" s="58"/>
      <c r="BM85" s="58"/>
      <c r="BN85" s="59"/>
      <c r="BO85" s="34"/>
      <c r="BP85" s="35"/>
      <c r="BQ85" s="35"/>
      <c r="BR85" s="35"/>
      <c r="BS85" s="35"/>
      <c r="BT85" s="35"/>
      <c r="BU85" s="35"/>
      <c r="BV85" s="35"/>
      <c r="BW85" s="35"/>
      <c r="BX85" s="35"/>
      <c r="BY85" s="35"/>
      <c r="BZ85" s="35"/>
      <c r="CA85" s="35"/>
      <c r="CB85" s="35"/>
      <c r="CC85" s="35"/>
      <c r="CD85" s="35"/>
      <c r="CE85" s="35"/>
      <c r="CF85" s="36"/>
    </row>
    <row r="86" spans="1:85" ht="6.6" customHeight="1" x14ac:dyDescent="0.25">
      <c r="A86" s="48"/>
      <c r="B86" s="49"/>
      <c r="C86" s="49"/>
      <c r="D86" s="49"/>
      <c r="E86" s="49"/>
      <c r="F86" s="50"/>
      <c r="G86" s="57"/>
      <c r="H86" s="58"/>
      <c r="I86" s="5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c r="BA86" s="58"/>
      <c r="BB86" s="58"/>
      <c r="BC86" s="58"/>
      <c r="BD86" s="58"/>
      <c r="BE86" s="58"/>
      <c r="BF86" s="58"/>
      <c r="BG86" s="58"/>
      <c r="BH86" s="58"/>
      <c r="BI86" s="58"/>
      <c r="BJ86" s="58"/>
      <c r="BK86" s="58"/>
      <c r="BL86" s="58"/>
      <c r="BM86" s="58"/>
      <c r="BN86" s="59"/>
      <c r="BO86" s="34"/>
      <c r="BP86" s="35"/>
      <c r="BQ86" s="35"/>
      <c r="BR86" s="35"/>
      <c r="BS86" s="35"/>
      <c r="BT86" s="35"/>
      <c r="BU86" s="35"/>
      <c r="BV86" s="35"/>
      <c r="BW86" s="35"/>
      <c r="BX86" s="35"/>
      <c r="BY86" s="35"/>
      <c r="BZ86" s="35"/>
      <c r="CA86" s="35"/>
      <c r="CB86" s="35"/>
      <c r="CC86" s="35"/>
      <c r="CD86" s="35"/>
      <c r="CE86" s="35"/>
      <c r="CF86" s="36"/>
    </row>
    <row r="87" spans="1:85" ht="6.6" customHeight="1" x14ac:dyDescent="0.25">
      <c r="A87" s="48"/>
      <c r="B87" s="49"/>
      <c r="C87" s="49"/>
      <c r="D87" s="49"/>
      <c r="E87" s="49"/>
      <c r="F87" s="50"/>
      <c r="G87" s="57"/>
      <c r="H87" s="58"/>
      <c r="I87" s="5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c r="BA87" s="58"/>
      <c r="BB87" s="58"/>
      <c r="BC87" s="58"/>
      <c r="BD87" s="58"/>
      <c r="BE87" s="58"/>
      <c r="BF87" s="58"/>
      <c r="BG87" s="58"/>
      <c r="BH87" s="58"/>
      <c r="BI87" s="58"/>
      <c r="BJ87" s="58"/>
      <c r="BK87" s="58"/>
      <c r="BL87" s="58"/>
      <c r="BM87" s="58"/>
      <c r="BN87" s="59"/>
      <c r="BO87" s="34"/>
      <c r="BP87" s="35"/>
      <c r="BQ87" s="35"/>
      <c r="BR87" s="35"/>
      <c r="BS87" s="35"/>
      <c r="BT87" s="35"/>
      <c r="BU87" s="35"/>
      <c r="BV87" s="35"/>
      <c r="BW87" s="35"/>
      <c r="BX87" s="35"/>
      <c r="BY87" s="35"/>
      <c r="BZ87" s="35"/>
      <c r="CA87" s="35"/>
      <c r="CB87" s="35"/>
      <c r="CC87" s="35"/>
      <c r="CD87" s="35"/>
      <c r="CE87" s="35"/>
      <c r="CF87" s="36"/>
    </row>
    <row r="88" spans="1:85" ht="6.6" customHeight="1" x14ac:dyDescent="0.25">
      <c r="A88" s="48"/>
      <c r="B88" s="49"/>
      <c r="C88" s="49"/>
      <c r="D88" s="49"/>
      <c r="E88" s="49"/>
      <c r="F88" s="50"/>
      <c r="G88" s="57"/>
      <c r="H88" s="58"/>
      <c r="I88" s="5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c r="BA88" s="58"/>
      <c r="BB88" s="58"/>
      <c r="BC88" s="58"/>
      <c r="BD88" s="58"/>
      <c r="BE88" s="58"/>
      <c r="BF88" s="58"/>
      <c r="BG88" s="58"/>
      <c r="BH88" s="58"/>
      <c r="BI88" s="58"/>
      <c r="BJ88" s="58"/>
      <c r="BK88" s="58"/>
      <c r="BL88" s="58"/>
      <c r="BM88" s="58"/>
      <c r="BN88" s="59"/>
      <c r="BO88" s="34"/>
      <c r="BP88" s="35"/>
      <c r="BQ88" s="35"/>
      <c r="BR88" s="35"/>
      <c r="BS88" s="35"/>
      <c r="BT88" s="35"/>
      <c r="BU88" s="35"/>
      <c r="BV88" s="35"/>
      <c r="BW88" s="35"/>
      <c r="BX88" s="35"/>
      <c r="BY88" s="35"/>
      <c r="BZ88" s="35"/>
      <c r="CA88" s="35"/>
      <c r="CB88" s="35"/>
      <c r="CC88" s="35"/>
      <c r="CD88" s="35"/>
      <c r="CE88" s="35"/>
      <c r="CF88" s="36"/>
    </row>
    <row r="89" spans="1:85" ht="6.6" customHeight="1" x14ac:dyDescent="0.25">
      <c r="A89" s="48"/>
      <c r="B89" s="49"/>
      <c r="C89" s="49"/>
      <c r="D89" s="49"/>
      <c r="E89" s="49"/>
      <c r="F89" s="50"/>
      <c r="G89" s="57"/>
      <c r="H89" s="58"/>
      <c r="I89" s="5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c r="BA89" s="58"/>
      <c r="BB89" s="58"/>
      <c r="BC89" s="58"/>
      <c r="BD89" s="58"/>
      <c r="BE89" s="58"/>
      <c r="BF89" s="58"/>
      <c r="BG89" s="58"/>
      <c r="BH89" s="58"/>
      <c r="BI89" s="58"/>
      <c r="BJ89" s="58"/>
      <c r="BK89" s="58"/>
      <c r="BL89" s="58"/>
      <c r="BM89" s="58"/>
      <c r="BN89" s="59"/>
      <c r="BO89" s="34"/>
      <c r="BP89" s="35"/>
      <c r="BQ89" s="35"/>
      <c r="BR89" s="35"/>
      <c r="BS89" s="35"/>
      <c r="BT89" s="35"/>
      <c r="BU89" s="35"/>
      <c r="BV89" s="35"/>
      <c r="BW89" s="35"/>
      <c r="BX89" s="35"/>
      <c r="BY89" s="35"/>
      <c r="BZ89" s="35"/>
      <c r="CA89" s="35"/>
      <c r="CB89" s="35"/>
      <c r="CC89" s="35"/>
      <c r="CD89" s="35"/>
      <c r="CE89" s="35"/>
      <c r="CF89" s="36"/>
    </row>
    <row r="90" spans="1:85" ht="6.6" customHeight="1" x14ac:dyDescent="0.25">
      <c r="A90" s="48"/>
      <c r="B90" s="49"/>
      <c r="C90" s="49"/>
      <c r="D90" s="49"/>
      <c r="E90" s="49"/>
      <c r="F90" s="50"/>
      <c r="G90" s="57"/>
      <c r="H90" s="58"/>
      <c r="I90" s="5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c r="BA90" s="58"/>
      <c r="BB90" s="58"/>
      <c r="BC90" s="58"/>
      <c r="BD90" s="58"/>
      <c r="BE90" s="58"/>
      <c r="BF90" s="58"/>
      <c r="BG90" s="58"/>
      <c r="BH90" s="58"/>
      <c r="BI90" s="58"/>
      <c r="BJ90" s="58"/>
      <c r="BK90" s="58"/>
      <c r="BL90" s="58"/>
      <c r="BM90" s="58"/>
      <c r="BN90" s="59"/>
      <c r="BO90" s="34"/>
      <c r="BP90" s="35"/>
      <c r="BQ90" s="35"/>
      <c r="BR90" s="35"/>
      <c r="BS90" s="35"/>
      <c r="BT90" s="35"/>
      <c r="BU90" s="35"/>
      <c r="BV90" s="35"/>
      <c r="BW90" s="35"/>
      <c r="BX90" s="35"/>
      <c r="BY90" s="35"/>
      <c r="BZ90" s="35"/>
      <c r="CA90" s="35"/>
      <c r="CB90" s="35"/>
      <c r="CC90" s="35"/>
      <c r="CD90" s="35"/>
      <c r="CE90" s="35"/>
      <c r="CF90" s="36"/>
    </row>
    <row r="91" spans="1:85" ht="6.6" customHeight="1" x14ac:dyDescent="0.25">
      <c r="A91" s="48"/>
      <c r="B91" s="49"/>
      <c r="C91" s="49"/>
      <c r="D91" s="49"/>
      <c r="E91" s="49"/>
      <c r="F91" s="50"/>
      <c r="G91" s="57"/>
      <c r="H91" s="58"/>
      <c r="I91" s="5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c r="BA91" s="58"/>
      <c r="BB91" s="58"/>
      <c r="BC91" s="58"/>
      <c r="BD91" s="58"/>
      <c r="BE91" s="58"/>
      <c r="BF91" s="58"/>
      <c r="BG91" s="58"/>
      <c r="BH91" s="58"/>
      <c r="BI91" s="58"/>
      <c r="BJ91" s="58"/>
      <c r="BK91" s="58"/>
      <c r="BL91" s="58"/>
      <c r="BM91" s="58"/>
      <c r="BN91" s="59"/>
      <c r="BO91" s="34"/>
      <c r="BP91" s="35"/>
      <c r="BQ91" s="35"/>
      <c r="BR91" s="35"/>
      <c r="BS91" s="35"/>
      <c r="BT91" s="35"/>
      <c r="BU91" s="35"/>
      <c r="BV91" s="35"/>
      <c r="BW91" s="35"/>
      <c r="BX91" s="35"/>
      <c r="BY91" s="35"/>
      <c r="BZ91" s="35"/>
      <c r="CA91" s="35"/>
      <c r="CB91" s="35"/>
      <c r="CC91" s="35"/>
      <c r="CD91" s="35"/>
      <c r="CE91" s="35"/>
      <c r="CF91" s="36"/>
    </row>
    <row r="92" spans="1:85" ht="6.6" customHeight="1" x14ac:dyDescent="0.25">
      <c r="A92" s="48"/>
      <c r="B92" s="49"/>
      <c r="C92" s="49"/>
      <c r="D92" s="49"/>
      <c r="E92" s="49"/>
      <c r="F92" s="50"/>
      <c r="G92" s="57"/>
      <c r="H92" s="58"/>
      <c r="I92" s="5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c r="BA92" s="58"/>
      <c r="BB92" s="58"/>
      <c r="BC92" s="58"/>
      <c r="BD92" s="58"/>
      <c r="BE92" s="58"/>
      <c r="BF92" s="58"/>
      <c r="BG92" s="58"/>
      <c r="BH92" s="58"/>
      <c r="BI92" s="58"/>
      <c r="BJ92" s="58"/>
      <c r="BK92" s="58"/>
      <c r="BL92" s="58"/>
      <c r="BM92" s="58"/>
      <c r="BN92" s="59"/>
      <c r="BO92" s="34"/>
      <c r="BP92" s="35"/>
      <c r="BQ92" s="35"/>
      <c r="BR92" s="35"/>
      <c r="BS92" s="35"/>
      <c r="BT92" s="35"/>
      <c r="BU92" s="35"/>
      <c r="BV92" s="35"/>
      <c r="BW92" s="35"/>
      <c r="BX92" s="35"/>
      <c r="BY92" s="35"/>
      <c r="BZ92" s="35"/>
      <c r="CA92" s="35"/>
      <c r="CB92" s="35"/>
      <c r="CC92" s="35"/>
      <c r="CD92" s="35"/>
      <c r="CE92" s="35"/>
      <c r="CF92" s="36"/>
    </row>
    <row r="93" spans="1:85" ht="6.6" customHeight="1" x14ac:dyDescent="0.25">
      <c r="A93" s="48"/>
      <c r="B93" s="49"/>
      <c r="C93" s="49"/>
      <c r="D93" s="49"/>
      <c r="E93" s="49"/>
      <c r="F93" s="50"/>
      <c r="G93" s="57"/>
      <c r="H93" s="58"/>
      <c r="I93" s="5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c r="BA93" s="58"/>
      <c r="BB93" s="58"/>
      <c r="BC93" s="58"/>
      <c r="BD93" s="58"/>
      <c r="BE93" s="58"/>
      <c r="BF93" s="58"/>
      <c r="BG93" s="58"/>
      <c r="BH93" s="58"/>
      <c r="BI93" s="58"/>
      <c r="BJ93" s="58"/>
      <c r="BK93" s="58"/>
      <c r="BL93" s="58"/>
      <c r="BM93" s="58"/>
      <c r="BN93" s="59"/>
      <c r="BO93" s="34"/>
      <c r="BP93" s="35"/>
      <c r="BQ93" s="35"/>
      <c r="BR93" s="35"/>
      <c r="BS93" s="35"/>
      <c r="BT93" s="35"/>
      <c r="BU93" s="35"/>
      <c r="BV93" s="35"/>
      <c r="BW93" s="35"/>
      <c r="BX93" s="35"/>
      <c r="BY93" s="35"/>
      <c r="BZ93" s="35"/>
      <c r="CA93" s="35"/>
      <c r="CB93" s="35"/>
      <c r="CC93" s="35"/>
      <c r="CD93" s="35"/>
      <c r="CE93" s="35"/>
      <c r="CF93" s="36"/>
    </row>
    <row r="94" spans="1:85" ht="6.6" customHeight="1" x14ac:dyDescent="0.25">
      <c r="A94" s="48"/>
      <c r="B94" s="49"/>
      <c r="C94" s="49"/>
      <c r="D94" s="49"/>
      <c r="E94" s="49"/>
      <c r="F94" s="50"/>
      <c r="G94" s="57"/>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c r="BM94" s="58"/>
      <c r="BN94" s="59"/>
      <c r="BO94" s="34"/>
      <c r="BP94" s="35"/>
      <c r="BQ94" s="35"/>
      <c r="BR94" s="35"/>
      <c r="BS94" s="35"/>
      <c r="BT94" s="35"/>
      <c r="BU94" s="35"/>
      <c r="BV94" s="35"/>
      <c r="BW94" s="35"/>
      <c r="BX94" s="35"/>
      <c r="BY94" s="35"/>
      <c r="BZ94" s="35"/>
      <c r="CA94" s="35"/>
      <c r="CB94" s="35"/>
      <c r="CC94" s="35"/>
      <c r="CD94" s="35"/>
      <c r="CE94" s="35"/>
      <c r="CF94" s="36"/>
    </row>
    <row r="95" spans="1:85" ht="6.6" customHeight="1" x14ac:dyDescent="0.25">
      <c r="A95" s="48"/>
      <c r="B95" s="49"/>
      <c r="C95" s="49"/>
      <c r="D95" s="49"/>
      <c r="E95" s="49"/>
      <c r="F95" s="50"/>
      <c r="G95" s="57"/>
      <c r="H95" s="58"/>
      <c r="I95" s="5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c r="BA95" s="58"/>
      <c r="BB95" s="58"/>
      <c r="BC95" s="58"/>
      <c r="BD95" s="58"/>
      <c r="BE95" s="58"/>
      <c r="BF95" s="58"/>
      <c r="BG95" s="58"/>
      <c r="BH95" s="58"/>
      <c r="BI95" s="58"/>
      <c r="BJ95" s="58"/>
      <c r="BK95" s="58"/>
      <c r="BL95" s="58"/>
      <c r="BM95" s="58"/>
      <c r="BN95" s="59"/>
      <c r="BO95" s="34"/>
      <c r="BP95" s="35"/>
      <c r="BQ95" s="35"/>
      <c r="BR95" s="35"/>
      <c r="BS95" s="35"/>
      <c r="BT95" s="35"/>
      <c r="BU95" s="35"/>
      <c r="BV95" s="35"/>
      <c r="BW95" s="35"/>
      <c r="BX95" s="35"/>
      <c r="BY95" s="35"/>
      <c r="BZ95" s="35"/>
      <c r="CA95" s="35"/>
      <c r="CB95" s="35"/>
      <c r="CC95" s="35"/>
      <c r="CD95" s="35"/>
      <c r="CE95" s="35"/>
      <c r="CF95" s="36"/>
    </row>
    <row r="96" spans="1:85" ht="6.6" customHeight="1" x14ac:dyDescent="0.25">
      <c r="A96" s="51"/>
      <c r="B96" s="52"/>
      <c r="C96" s="52"/>
      <c r="D96" s="52"/>
      <c r="E96" s="52"/>
      <c r="F96" s="53"/>
      <c r="G96" s="60"/>
      <c r="H96" s="61"/>
      <c r="I96" s="61"/>
      <c r="J96" s="61"/>
      <c r="K96" s="61"/>
      <c r="L96" s="61"/>
      <c r="M96" s="61"/>
      <c r="N96" s="61"/>
      <c r="O96" s="61"/>
      <c r="P96" s="61"/>
      <c r="Q96" s="61"/>
      <c r="R96" s="61"/>
      <c r="S96" s="61"/>
      <c r="T96" s="61"/>
      <c r="U96" s="61"/>
      <c r="V96" s="61"/>
      <c r="W96" s="61"/>
      <c r="X96" s="61"/>
      <c r="Y96" s="61"/>
      <c r="Z96" s="61"/>
      <c r="AA96" s="61"/>
      <c r="AB96" s="61"/>
      <c r="AC96" s="61"/>
      <c r="AD96" s="61"/>
      <c r="AE96" s="61"/>
      <c r="AF96" s="61"/>
      <c r="AG96" s="61"/>
      <c r="AH96" s="61"/>
      <c r="AI96" s="61"/>
      <c r="AJ96" s="61"/>
      <c r="AK96" s="61"/>
      <c r="AL96" s="61"/>
      <c r="AM96" s="61"/>
      <c r="AN96" s="61"/>
      <c r="AO96" s="61"/>
      <c r="AP96" s="61"/>
      <c r="AQ96" s="61"/>
      <c r="AR96" s="61"/>
      <c r="AS96" s="61"/>
      <c r="AT96" s="61"/>
      <c r="AU96" s="61"/>
      <c r="AV96" s="61"/>
      <c r="AW96" s="61"/>
      <c r="AX96" s="61"/>
      <c r="AY96" s="61"/>
      <c r="AZ96" s="61"/>
      <c r="BA96" s="61"/>
      <c r="BB96" s="61"/>
      <c r="BC96" s="61"/>
      <c r="BD96" s="61"/>
      <c r="BE96" s="61"/>
      <c r="BF96" s="61"/>
      <c r="BG96" s="61"/>
      <c r="BH96" s="61"/>
      <c r="BI96" s="61"/>
      <c r="BJ96" s="61"/>
      <c r="BK96" s="61"/>
      <c r="BL96" s="61"/>
      <c r="BM96" s="61"/>
      <c r="BN96" s="62"/>
      <c r="BO96" s="37"/>
      <c r="BP96" s="38"/>
      <c r="BQ96" s="38"/>
      <c r="BR96" s="38"/>
      <c r="BS96" s="38"/>
      <c r="BT96" s="38"/>
      <c r="BU96" s="38"/>
      <c r="BV96" s="38"/>
      <c r="BW96" s="38"/>
      <c r="BX96" s="38"/>
      <c r="BY96" s="38"/>
      <c r="BZ96" s="38"/>
      <c r="CA96" s="38"/>
      <c r="CB96" s="38"/>
      <c r="CC96" s="38"/>
      <c r="CD96" s="38"/>
      <c r="CE96" s="38"/>
      <c r="CF96" s="39"/>
      <c r="CG96" s="18">
        <v>9</v>
      </c>
    </row>
    <row r="97" spans="1:84" ht="6.6" customHeight="1" x14ac:dyDescent="0.25">
      <c r="A97" s="45" t="s">
        <v>18</v>
      </c>
      <c r="B97" s="46"/>
      <c r="C97" s="46"/>
      <c r="D97" s="46"/>
      <c r="E97" s="46"/>
      <c r="F97" s="47"/>
      <c r="G97" s="54" t="str">
        <f>IFERROR(IF(VLOOKUP($CJ$7,'3° PERIODO'!$A$7:$BV$36,$CG$60)="","",VLOOKUP($CJ$7,'3° PERIODO'!$A$7:$BV$36,$CG$60)),"")</f>
        <v>¡Estás progresando Leydi! Vemos que juegas mucho con tus amigas y amigos, participas muy motivada y cuidas a los demás. En el proyecto has aprendido para qué sirven los letreros y escribes con mucha soltura. ¡Buen trabajo!
Mamita y papito, Leydi aporta mucha motivación al salón y disfruta participando en las diferentes actividades. Sin embargo, a veces le cuesta escuchar y seguir las rutinas; también le cuesta incluirse un poco en el grupo. Hay que establecer rutinas en casa y siempre ser democráticos para poder ayudar a Leydi. Es importante seguir practicando el lavado de manos, la alimentación correcta y el cepillado de dientes todos los días para que Leydi pueda progresar más. Recuerden que es importante la asistencia, hay muchas faltas y eso no permite evidenciar el avance.</v>
      </c>
      <c r="H97" s="55"/>
      <c r="I97" s="55"/>
      <c r="J97" s="55"/>
      <c r="K97" s="55"/>
      <c r="L97" s="55"/>
      <c r="M97" s="55"/>
      <c r="N97" s="55"/>
      <c r="O97" s="55"/>
      <c r="P97" s="55"/>
      <c r="Q97" s="55"/>
      <c r="R97" s="55"/>
      <c r="S97" s="55"/>
      <c r="T97" s="55"/>
      <c r="U97" s="55"/>
      <c r="V97" s="55"/>
      <c r="W97" s="55"/>
      <c r="X97" s="55"/>
      <c r="Y97" s="55"/>
      <c r="Z97" s="55"/>
      <c r="AA97" s="55"/>
      <c r="AB97" s="55"/>
      <c r="AC97" s="55"/>
      <c r="AD97" s="55"/>
      <c r="AE97" s="55"/>
      <c r="AF97" s="55"/>
      <c r="AG97" s="55"/>
      <c r="AH97" s="55"/>
      <c r="AI97" s="55"/>
      <c r="AJ97" s="55"/>
      <c r="AK97" s="55"/>
      <c r="AL97" s="55"/>
      <c r="AM97" s="55"/>
      <c r="AN97" s="55"/>
      <c r="AO97" s="55"/>
      <c r="AP97" s="55"/>
      <c r="AQ97" s="55"/>
      <c r="AR97" s="55"/>
      <c r="AS97" s="55"/>
      <c r="AT97" s="55"/>
      <c r="AU97" s="55"/>
      <c r="AV97" s="55"/>
      <c r="AW97" s="55"/>
      <c r="AX97" s="55"/>
      <c r="AY97" s="55"/>
      <c r="AZ97" s="55"/>
      <c r="BA97" s="55"/>
      <c r="BB97" s="55"/>
      <c r="BC97" s="55"/>
      <c r="BD97" s="55"/>
      <c r="BE97" s="55"/>
      <c r="BF97" s="55"/>
      <c r="BG97" s="55"/>
      <c r="BH97" s="55"/>
      <c r="BI97" s="55"/>
      <c r="BJ97" s="55"/>
      <c r="BK97" s="55"/>
      <c r="BL97" s="55"/>
      <c r="BM97" s="55"/>
      <c r="BN97" s="56"/>
      <c r="BO97" s="31"/>
      <c r="BP97" s="32"/>
      <c r="BQ97" s="32"/>
      <c r="BR97" s="32"/>
      <c r="BS97" s="32"/>
      <c r="BT97" s="32"/>
      <c r="BU97" s="32"/>
      <c r="BV97" s="32"/>
      <c r="BW97" s="32"/>
      <c r="BX97" s="32"/>
      <c r="BY97" s="32"/>
      <c r="BZ97" s="32"/>
      <c r="CA97" s="32"/>
      <c r="CB97" s="32"/>
      <c r="CC97" s="32"/>
      <c r="CD97" s="32"/>
      <c r="CE97" s="32"/>
      <c r="CF97" s="33"/>
    </row>
    <row r="98" spans="1:84" ht="6.6" customHeight="1" x14ac:dyDescent="0.25">
      <c r="A98" s="48"/>
      <c r="B98" s="49"/>
      <c r="C98" s="49"/>
      <c r="D98" s="49"/>
      <c r="E98" s="49"/>
      <c r="F98" s="50"/>
      <c r="G98" s="57"/>
      <c r="H98" s="58"/>
      <c r="I98" s="5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c r="BA98" s="58"/>
      <c r="BB98" s="58"/>
      <c r="BC98" s="58"/>
      <c r="BD98" s="58"/>
      <c r="BE98" s="58"/>
      <c r="BF98" s="58"/>
      <c r="BG98" s="58"/>
      <c r="BH98" s="58"/>
      <c r="BI98" s="58"/>
      <c r="BJ98" s="58"/>
      <c r="BK98" s="58"/>
      <c r="BL98" s="58"/>
      <c r="BM98" s="58"/>
      <c r="BN98" s="59"/>
      <c r="BO98" s="34"/>
      <c r="BP98" s="35"/>
      <c r="BQ98" s="35"/>
      <c r="BR98" s="35"/>
      <c r="BS98" s="35"/>
      <c r="BT98" s="35"/>
      <c r="BU98" s="35"/>
      <c r="BV98" s="35"/>
      <c r="BW98" s="35"/>
      <c r="BX98" s="35"/>
      <c r="BY98" s="35"/>
      <c r="BZ98" s="35"/>
      <c r="CA98" s="35"/>
      <c r="CB98" s="35"/>
      <c r="CC98" s="35"/>
      <c r="CD98" s="35"/>
      <c r="CE98" s="35"/>
      <c r="CF98" s="36"/>
    </row>
    <row r="99" spans="1:84" ht="6.6" customHeight="1" x14ac:dyDescent="0.25">
      <c r="A99" s="48"/>
      <c r="B99" s="49"/>
      <c r="C99" s="49"/>
      <c r="D99" s="49"/>
      <c r="E99" s="49"/>
      <c r="F99" s="50"/>
      <c r="G99" s="57"/>
      <c r="H99" s="58"/>
      <c r="I99" s="5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c r="BA99" s="58"/>
      <c r="BB99" s="58"/>
      <c r="BC99" s="58"/>
      <c r="BD99" s="58"/>
      <c r="BE99" s="58"/>
      <c r="BF99" s="58"/>
      <c r="BG99" s="58"/>
      <c r="BH99" s="58"/>
      <c r="BI99" s="58"/>
      <c r="BJ99" s="58"/>
      <c r="BK99" s="58"/>
      <c r="BL99" s="58"/>
      <c r="BM99" s="58"/>
      <c r="BN99" s="59"/>
      <c r="BO99" s="34"/>
      <c r="BP99" s="35"/>
      <c r="BQ99" s="35"/>
      <c r="BR99" s="35"/>
      <c r="BS99" s="35"/>
      <c r="BT99" s="35"/>
      <c r="BU99" s="35"/>
      <c r="BV99" s="35"/>
      <c r="BW99" s="35"/>
      <c r="BX99" s="35"/>
      <c r="BY99" s="35"/>
      <c r="BZ99" s="35"/>
      <c r="CA99" s="35"/>
      <c r="CB99" s="35"/>
      <c r="CC99" s="35"/>
      <c r="CD99" s="35"/>
      <c r="CE99" s="35"/>
      <c r="CF99" s="36"/>
    </row>
    <row r="100" spans="1:84" ht="6.6" customHeight="1" x14ac:dyDescent="0.25">
      <c r="A100" s="48"/>
      <c r="B100" s="49"/>
      <c r="C100" s="49"/>
      <c r="D100" s="49"/>
      <c r="E100" s="49"/>
      <c r="F100" s="50"/>
      <c r="G100" s="57"/>
      <c r="H100" s="58"/>
      <c r="I100" s="5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c r="BA100" s="58"/>
      <c r="BB100" s="58"/>
      <c r="BC100" s="58"/>
      <c r="BD100" s="58"/>
      <c r="BE100" s="58"/>
      <c r="BF100" s="58"/>
      <c r="BG100" s="58"/>
      <c r="BH100" s="58"/>
      <c r="BI100" s="58"/>
      <c r="BJ100" s="58"/>
      <c r="BK100" s="58"/>
      <c r="BL100" s="58"/>
      <c r="BM100" s="58"/>
      <c r="BN100" s="59"/>
      <c r="BO100" s="34"/>
      <c r="BP100" s="35"/>
      <c r="BQ100" s="35"/>
      <c r="BR100" s="35"/>
      <c r="BS100" s="35"/>
      <c r="BT100" s="35"/>
      <c r="BU100" s="35"/>
      <c r="BV100" s="35"/>
      <c r="BW100" s="35"/>
      <c r="BX100" s="35"/>
      <c r="BY100" s="35"/>
      <c r="BZ100" s="35"/>
      <c r="CA100" s="35"/>
      <c r="CB100" s="35"/>
      <c r="CC100" s="35"/>
      <c r="CD100" s="35"/>
      <c r="CE100" s="35"/>
      <c r="CF100" s="36"/>
    </row>
    <row r="101" spans="1:84" ht="6.6" customHeight="1" x14ac:dyDescent="0.25">
      <c r="A101" s="48"/>
      <c r="B101" s="49"/>
      <c r="C101" s="49"/>
      <c r="D101" s="49"/>
      <c r="E101" s="49"/>
      <c r="F101" s="50"/>
      <c r="G101" s="57"/>
      <c r="H101" s="58"/>
      <c r="I101" s="5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c r="BA101" s="58"/>
      <c r="BB101" s="58"/>
      <c r="BC101" s="58"/>
      <c r="BD101" s="58"/>
      <c r="BE101" s="58"/>
      <c r="BF101" s="58"/>
      <c r="BG101" s="58"/>
      <c r="BH101" s="58"/>
      <c r="BI101" s="58"/>
      <c r="BJ101" s="58"/>
      <c r="BK101" s="58"/>
      <c r="BL101" s="58"/>
      <c r="BM101" s="58"/>
      <c r="BN101" s="59"/>
      <c r="BO101" s="34"/>
      <c r="BP101" s="35"/>
      <c r="BQ101" s="35"/>
      <c r="BR101" s="35"/>
      <c r="BS101" s="35"/>
      <c r="BT101" s="35"/>
      <c r="BU101" s="35"/>
      <c r="BV101" s="35"/>
      <c r="BW101" s="35"/>
      <c r="BX101" s="35"/>
      <c r="BY101" s="35"/>
      <c r="BZ101" s="35"/>
      <c r="CA101" s="35"/>
      <c r="CB101" s="35"/>
      <c r="CC101" s="35"/>
      <c r="CD101" s="35"/>
      <c r="CE101" s="35"/>
      <c r="CF101" s="36"/>
    </row>
    <row r="102" spans="1:84" ht="6.6" customHeight="1" x14ac:dyDescent="0.25">
      <c r="A102" s="48"/>
      <c r="B102" s="49"/>
      <c r="C102" s="49"/>
      <c r="D102" s="49"/>
      <c r="E102" s="49"/>
      <c r="F102" s="50"/>
      <c r="G102" s="57"/>
      <c r="H102" s="58"/>
      <c r="I102" s="5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c r="BA102" s="58"/>
      <c r="BB102" s="58"/>
      <c r="BC102" s="58"/>
      <c r="BD102" s="58"/>
      <c r="BE102" s="58"/>
      <c r="BF102" s="58"/>
      <c r="BG102" s="58"/>
      <c r="BH102" s="58"/>
      <c r="BI102" s="58"/>
      <c r="BJ102" s="58"/>
      <c r="BK102" s="58"/>
      <c r="BL102" s="58"/>
      <c r="BM102" s="58"/>
      <c r="BN102" s="59"/>
      <c r="BO102" s="34"/>
      <c r="BP102" s="35"/>
      <c r="BQ102" s="35"/>
      <c r="BR102" s="35"/>
      <c r="BS102" s="35"/>
      <c r="BT102" s="35"/>
      <c r="BU102" s="35"/>
      <c r="BV102" s="35"/>
      <c r="BW102" s="35"/>
      <c r="BX102" s="35"/>
      <c r="BY102" s="35"/>
      <c r="BZ102" s="35"/>
      <c r="CA102" s="35"/>
      <c r="CB102" s="35"/>
      <c r="CC102" s="35"/>
      <c r="CD102" s="35"/>
      <c r="CE102" s="35"/>
      <c r="CF102" s="36"/>
    </row>
    <row r="103" spans="1:84" ht="6.6" customHeight="1" x14ac:dyDescent="0.25">
      <c r="A103" s="48"/>
      <c r="B103" s="49"/>
      <c r="C103" s="49"/>
      <c r="D103" s="49"/>
      <c r="E103" s="49"/>
      <c r="F103" s="50"/>
      <c r="G103" s="57"/>
      <c r="H103" s="58"/>
      <c r="I103" s="5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c r="BA103" s="58"/>
      <c r="BB103" s="58"/>
      <c r="BC103" s="58"/>
      <c r="BD103" s="58"/>
      <c r="BE103" s="58"/>
      <c r="BF103" s="58"/>
      <c r="BG103" s="58"/>
      <c r="BH103" s="58"/>
      <c r="BI103" s="58"/>
      <c r="BJ103" s="58"/>
      <c r="BK103" s="58"/>
      <c r="BL103" s="58"/>
      <c r="BM103" s="58"/>
      <c r="BN103" s="59"/>
      <c r="BO103" s="34"/>
      <c r="BP103" s="35"/>
      <c r="BQ103" s="35"/>
      <c r="BR103" s="35"/>
      <c r="BS103" s="35"/>
      <c r="BT103" s="35"/>
      <c r="BU103" s="35"/>
      <c r="BV103" s="35"/>
      <c r="BW103" s="35"/>
      <c r="BX103" s="35"/>
      <c r="BY103" s="35"/>
      <c r="BZ103" s="35"/>
      <c r="CA103" s="35"/>
      <c r="CB103" s="35"/>
      <c r="CC103" s="35"/>
      <c r="CD103" s="35"/>
      <c r="CE103" s="35"/>
      <c r="CF103" s="36"/>
    </row>
    <row r="104" spans="1:84" ht="6.6" customHeight="1" x14ac:dyDescent="0.25">
      <c r="A104" s="48"/>
      <c r="B104" s="49"/>
      <c r="C104" s="49"/>
      <c r="D104" s="49"/>
      <c r="E104" s="49"/>
      <c r="F104" s="50"/>
      <c r="G104" s="57"/>
      <c r="H104" s="58"/>
      <c r="I104" s="5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c r="BA104" s="58"/>
      <c r="BB104" s="58"/>
      <c r="BC104" s="58"/>
      <c r="BD104" s="58"/>
      <c r="BE104" s="58"/>
      <c r="BF104" s="58"/>
      <c r="BG104" s="58"/>
      <c r="BH104" s="58"/>
      <c r="BI104" s="58"/>
      <c r="BJ104" s="58"/>
      <c r="BK104" s="58"/>
      <c r="BL104" s="58"/>
      <c r="BM104" s="58"/>
      <c r="BN104" s="59"/>
      <c r="BO104" s="34"/>
      <c r="BP104" s="35"/>
      <c r="BQ104" s="35"/>
      <c r="BR104" s="35"/>
      <c r="BS104" s="35"/>
      <c r="BT104" s="35"/>
      <c r="BU104" s="35"/>
      <c r="BV104" s="35"/>
      <c r="BW104" s="35"/>
      <c r="BX104" s="35"/>
      <c r="BY104" s="35"/>
      <c r="BZ104" s="35"/>
      <c r="CA104" s="35"/>
      <c r="CB104" s="35"/>
      <c r="CC104" s="35"/>
      <c r="CD104" s="35"/>
      <c r="CE104" s="35"/>
      <c r="CF104" s="36"/>
    </row>
    <row r="105" spans="1:84" ht="6.6" customHeight="1" x14ac:dyDescent="0.25">
      <c r="A105" s="48"/>
      <c r="B105" s="49"/>
      <c r="C105" s="49"/>
      <c r="D105" s="49"/>
      <c r="E105" s="49"/>
      <c r="F105" s="50"/>
      <c r="G105" s="57"/>
      <c r="H105" s="58"/>
      <c r="I105" s="5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c r="BA105" s="58"/>
      <c r="BB105" s="58"/>
      <c r="BC105" s="58"/>
      <c r="BD105" s="58"/>
      <c r="BE105" s="58"/>
      <c r="BF105" s="58"/>
      <c r="BG105" s="58"/>
      <c r="BH105" s="58"/>
      <c r="BI105" s="58"/>
      <c r="BJ105" s="58"/>
      <c r="BK105" s="58"/>
      <c r="BL105" s="58"/>
      <c r="BM105" s="58"/>
      <c r="BN105" s="59"/>
      <c r="BO105" s="34"/>
      <c r="BP105" s="35"/>
      <c r="BQ105" s="35"/>
      <c r="BR105" s="35"/>
      <c r="BS105" s="35"/>
      <c r="BT105" s="35"/>
      <c r="BU105" s="35"/>
      <c r="BV105" s="35"/>
      <c r="BW105" s="35"/>
      <c r="BX105" s="35"/>
      <c r="BY105" s="35"/>
      <c r="BZ105" s="35"/>
      <c r="CA105" s="35"/>
      <c r="CB105" s="35"/>
      <c r="CC105" s="35"/>
      <c r="CD105" s="35"/>
      <c r="CE105" s="35"/>
      <c r="CF105" s="36"/>
    </row>
    <row r="106" spans="1:84" ht="6.6" customHeight="1" x14ac:dyDescent="0.25">
      <c r="A106" s="48"/>
      <c r="B106" s="49"/>
      <c r="C106" s="49"/>
      <c r="D106" s="49"/>
      <c r="E106" s="49"/>
      <c r="F106" s="50"/>
      <c r="G106" s="57"/>
      <c r="H106" s="58"/>
      <c r="I106" s="5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c r="BA106" s="58"/>
      <c r="BB106" s="58"/>
      <c r="BC106" s="58"/>
      <c r="BD106" s="58"/>
      <c r="BE106" s="58"/>
      <c r="BF106" s="58"/>
      <c r="BG106" s="58"/>
      <c r="BH106" s="58"/>
      <c r="BI106" s="58"/>
      <c r="BJ106" s="58"/>
      <c r="BK106" s="58"/>
      <c r="BL106" s="58"/>
      <c r="BM106" s="58"/>
      <c r="BN106" s="59"/>
      <c r="BO106" s="34"/>
      <c r="BP106" s="35"/>
      <c r="BQ106" s="35"/>
      <c r="BR106" s="35"/>
      <c r="BS106" s="35"/>
      <c r="BT106" s="35"/>
      <c r="BU106" s="35"/>
      <c r="BV106" s="35"/>
      <c r="BW106" s="35"/>
      <c r="BX106" s="35"/>
      <c r="BY106" s="35"/>
      <c r="BZ106" s="35"/>
      <c r="CA106" s="35"/>
      <c r="CB106" s="35"/>
      <c r="CC106" s="35"/>
      <c r="CD106" s="35"/>
      <c r="CE106" s="35"/>
      <c r="CF106" s="36"/>
    </row>
    <row r="107" spans="1:84" ht="6.6" customHeight="1" x14ac:dyDescent="0.25">
      <c r="A107" s="48"/>
      <c r="B107" s="49"/>
      <c r="C107" s="49"/>
      <c r="D107" s="49"/>
      <c r="E107" s="49"/>
      <c r="F107" s="50"/>
      <c r="G107" s="57"/>
      <c r="H107" s="58"/>
      <c r="I107" s="5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c r="BA107" s="58"/>
      <c r="BB107" s="58"/>
      <c r="BC107" s="58"/>
      <c r="BD107" s="58"/>
      <c r="BE107" s="58"/>
      <c r="BF107" s="58"/>
      <c r="BG107" s="58"/>
      <c r="BH107" s="58"/>
      <c r="BI107" s="58"/>
      <c r="BJ107" s="58"/>
      <c r="BK107" s="58"/>
      <c r="BL107" s="58"/>
      <c r="BM107" s="58"/>
      <c r="BN107" s="59"/>
      <c r="BO107" s="34"/>
      <c r="BP107" s="35"/>
      <c r="BQ107" s="35"/>
      <c r="BR107" s="35"/>
      <c r="BS107" s="35"/>
      <c r="BT107" s="35"/>
      <c r="BU107" s="35"/>
      <c r="BV107" s="35"/>
      <c r="BW107" s="35"/>
      <c r="BX107" s="35"/>
      <c r="BY107" s="35"/>
      <c r="BZ107" s="35"/>
      <c r="CA107" s="35"/>
      <c r="CB107" s="35"/>
      <c r="CC107" s="35"/>
      <c r="CD107" s="35"/>
      <c r="CE107" s="35"/>
      <c r="CF107" s="36"/>
    </row>
    <row r="108" spans="1:84" ht="6.6" customHeight="1" x14ac:dyDescent="0.25">
      <c r="A108" s="48"/>
      <c r="B108" s="49"/>
      <c r="C108" s="49"/>
      <c r="D108" s="49"/>
      <c r="E108" s="49"/>
      <c r="F108" s="50"/>
      <c r="G108" s="57"/>
      <c r="H108" s="58"/>
      <c r="I108" s="5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c r="BA108" s="58"/>
      <c r="BB108" s="58"/>
      <c r="BC108" s="58"/>
      <c r="BD108" s="58"/>
      <c r="BE108" s="58"/>
      <c r="BF108" s="58"/>
      <c r="BG108" s="58"/>
      <c r="BH108" s="58"/>
      <c r="BI108" s="58"/>
      <c r="BJ108" s="58"/>
      <c r="BK108" s="58"/>
      <c r="BL108" s="58"/>
      <c r="BM108" s="58"/>
      <c r="BN108" s="59"/>
      <c r="BO108" s="34"/>
      <c r="BP108" s="35"/>
      <c r="BQ108" s="35"/>
      <c r="BR108" s="35"/>
      <c r="BS108" s="35"/>
      <c r="BT108" s="35"/>
      <c r="BU108" s="35"/>
      <c r="BV108" s="35"/>
      <c r="BW108" s="35"/>
      <c r="BX108" s="35"/>
      <c r="BY108" s="35"/>
      <c r="BZ108" s="35"/>
      <c r="CA108" s="35"/>
      <c r="CB108" s="35"/>
      <c r="CC108" s="35"/>
      <c r="CD108" s="35"/>
      <c r="CE108" s="35"/>
      <c r="CF108" s="36"/>
    </row>
    <row r="109" spans="1:84" ht="6.6" customHeight="1" x14ac:dyDescent="0.25">
      <c r="A109" s="48"/>
      <c r="B109" s="49"/>
      <c r="C109" s="49"/>
      <c r="D109" s="49"/>
      <c r="E109" s="49"/>
      <c r="F109" s="50"/>
      <c r="G109" s="57"/>
      <c r="H109" s="58"/>
      <c r="I109" s="5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c r="BA109" s="58"/>
      <c r="BB109" s="58"/>
      <c r="BC109" s="58"/>
      <c r="BD109" s="58"/>
      <c r="BE109" s="58"/>
      <c r="BF109" s="58"/>
      <c r="BG109" s="58"/>
      <c r="BH109" s="58"/>
      <c r="BI109" s="58"/>
      <c r="BJ109" s="58"/>
      <c r="BK109" s="58"/>
      <c r="BL109" s="58"/>
      <c r="BM109" s="58"/>
      <c r="BN109" s="59"/>
      <c r="BO109" s="34"/>
      <c r="BP109" s="35"/>
      <c r="BQ109" s="35"/>
      <c r="BR109" s="35"/>
      <c r="BS109" s="35"/>
      <c r="BT109" s="35"/>
      <c r="BU109" s="35"/>
      <c r="BV109" s="35"/>
      <c r="BW109" s="35"/>
      <c r="BX109" s="35"/>
      <c r="BY109" s="35"/>
      <c r="BZ109" s="35"/>
      <c r="CA109" s="35"/>
      <c r="CB109" s="35"/>
      <c r="CC109" s="35"/>
      <c r="CD109" s="35"/>
      <c r="CE109" s="35"/>
      <c r="CF109" s="36"/>
    </row>
    <row r="110" spans="1:84" ht="6.6" customHeight="1" x14ac:dyDescent="0.25">
      <c r="A110" s="48"/>
      <c r="B110" s="49"/>
      <c r="C110" s="49"/>
      <c r="D110" s="49"/>
      <c r="E110" s="49"/>
      <c r="F110" s="50"/>
      <c r="G110" s="57"/>
      <c r="H110" s="58"/>
      <c r="I110" s="5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c r="BA110" s="58"/>
      <c r="BB110" s="58"/>
      <c r="BC110" s="58"/>
      <c r="BD110" s="58"/>
      <c r="BE110" s="58"/>
      <c r="BF110" s="58"/>
      <c r="BG110" s="58"/>
      <c r="BH110" s="58"/>
      <c r="BI110" s="58"/>
      <c r="BJ110" s="58"/>
      <c r="BK110" s="58"/>
      <c r="BL110" s="58"/>
      <c r="BM110" s="58"/>
      <c r="BN110" s="59"/>
      <c r="BO110" s="34"/>
      <c r="BP110" s="35"/>
      <c r="BQ110" s="35"/>
      <c r="BR110" s="35"/>
      <c r="BS110" s="35"/>
      <c r="BT110" s="35"/>
      <c r="BU110" s="35"/>
      <c r="BV110" s="35"/>
      <c r="BW110" s="35"/>
      <c r="BX110" s="35"/>
      <c r="BY110" s="35"/>
      <c r="BZ110" s="35"/>
      <c r="CA110" s="35"/>
      <c r="CB110" s="35"/>
      <c r="CC110" s="35"/>
      <c r="CD110" s="35"/>
      <c r="CE110" s="35"/>
      <c r="CF110" s="36"/>
    </row>
    <row r="111" spans="1:84" ht="6.6" customHeight="1" x14ac:dyDescent="0.25">
      <c r="A111" s="48"/>
      <c r="B111" s="49"/>
      <c r="C111" s="49"/>
      <c r="D111" s="49"/>
      <c r="E111" s="49"/>
      <c r="F111" s="50"/>
      <c r="G111" s="57"/>
      <c r="H111" s="58"/>
      <c r="I111" s="5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c r="BA111" s="58"/>
      <c r="BB111" s="58"/>
      <c r="BC111" s="58"/>
      <c r="BD111" s="58"/>
      <c r="BE111" s="58"/>
      <c r="BF111" s="58"/>
      <c r="BG111" s="58"/>
      <c r="BH111" s="58"/>
      <c r="BI111" s="58"/>
      <c r="BJ111" s="58"/>
      <c r="BK111" s="58"/>
      <c r="BL111" s="58"/>
      <c r="BM111" s="58"/>
      <c r="BN111" s="59"/>
      <c r="BO111" s="34"/>
      <c r="BP111" s="35"/>
      <c r="BQ111" s="35"/>
      <c r="BR111" s="35"/>
      <c r="BS111" s="35"/>
      <c r="BT111" s="35"/>
      <c r="BU111" s="35"/>
      <c r="BV111" s="35"/>
      <c r="BW111" s="35"/>
      <c r="BX111" s="35"/>
      <c r="BY111" s="35"/>
      <c r="BZ111" s="35"/>
      <c r="CA111" s="35"/>
      <c r="CB111" s="35"/>
      <c r="CC111" s="35"/>
      <c r="CD111" s="35"/>
      <c r="CE111" s="35"/>
      <c r="CF111" s="36"/>
    </row>
    <row r="112" spans="1:84" ht="6.6" customHeight="1" x14ac:dyDescent="0.25">
      <c r="A112" s="48"/>
      <c r="B112" s="49"/>
      <c r="C112" s="49"/>
      <c r="D112" s="49"/>
      <c r="E112" s="49"/>
      <c r="F112" s="50"/>
      <c r="G112" s="57"/>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c r="BM112" s="58"/>
      <c r="BN112" s="59"/>
      <c r="BO112" s="34"/>
      <c r="BP112" s="35"/>
      <c r="BQ112" s="35"/>
      <c r="BR112" s="35"/>
      <c r="BS112" s="35"/>
      <c r="BT112" s="35"/>
      <c r="BU112" s="35"/>
      <c r="BV112" s="35"/>
      <c r="BW112" s="35"/>
      <c r="BX112" s="35"/>
      <c r="BY112" s="35"/>
      <c r="BZ112" s="35"/>
      <c r="CA112" s="35"/>
      <c r="CB112" s="35"/>
      <c r="CC112" s="35"/>
      <c r="CD112" s="35"/>
      <c r="CE112" s="35"/>
      <c r="CF112" s="36"/>
    </row>
    <row r="113" spans="1:84" ht="6.6" customHeight="1" x14ac:dyDescent="0.25">
      <c r="A113" s="48"/>
      <c r="B113" s="49"/>
      <c r="C113" s="49"/>
      <c r="D113" s="49"/>
      <c r="E113" s="49"/>
      <c r="F113" s="50"/>
      <c r="G113" s="57"/>
      <c r="H113" s="58"/>
      <c r="I113" s="5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c r="BA113" s="58"/>
      <c r="BB113" s="58"/>
      <c r="BC113" s="58"/>
      <c r="BD113" s="58"/>
      <c r="BE113" s="58"/>
      <c r="BF113" s="58"/>
      <c r="BG113" s="58"/>
      <c r="BH113" s="58"/>
      <c r="BI113" s="58"/>
      <c r="BJ113" s="58"/>
      <c r="BK113" s="58"/>
      <c r="BL113" s="58"/>
      <c r="BM113" s="58"/>
      <c r="BN113" s="59"/>
      <c r="BO113" s="34"/>
      <c r="BP113" s="35"/>
      <c r="BQ113" s="35"/>
      <c r="BR113" s="35"/>
      <c r="BS113" s="35"/>
      <c r="BT113" s="35"/>
      <c r="BU113" s="35"/>
      <c r="BV113" s="35"/>
      <c r="BW113" s="35"/>
      <c r="BX113" s="35"/>
      <c r="BY113" s="35"/>
      <c r="BZ113" s="35"/>
      <c r="CA113" s="35"/>
      <c r="CB113" s="35"/>
      <c r="CC113" s="35"/>
      <c r="CD113" s="35"/>
      <c r="CE113" s="35"/>
      <c r="CF113" s="36"/>
    </row>
    <row r="114" spans="1:84" ht="6.6" customHeight="1" x14ac:dyDescent="0.25">
      <c r="A114" s="51"/>
      <c r="B114" s="52"/>
      <c r="C114" s="52"/>
      <c r="D114" s="52"/>
      <c r="E114" s="52"/>
      <c r="F114" s="53"/>
      <c r="G114" s="60"/>
      <c r="H114" s="61"/>
      <c r="I114" s="61"/>
      <c r="J114" s="61"/>
      <c r="K114" s="61"/>
      <c r="L114" s="61"/>
      <c r="M114" s="61"/>
      <c r="N114" s="61"/>
      <c r="O114" s="61"/>
      <c r="P114" s="61"/>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1"/>
      <c r="AR114" s="61"/>
      <c r="AS114" s="61"/>
      <c r="AT114" s="61"/>
      <c r="AU114" s="61"/>
      <c r="AV114" s="61"/>
      <c r="AW114" s="61"/>
      <c r="AX114" s="61"/>
      <c r="AY114" s="61"/>
      <c r="AZ114" s="61"/>
      <c r="BA114" s="61"/>
      <c r="BB114" s="61"/>
      <c r="BC114" s="61"/>
      <c r="BD114" s="61"/>
      <c r="BE114" s="61"/>
      <c r="BF114" s="61"/>
      <c r="BG114" s="61"/>
      <c r="BH114" s="61"/>
      <c r="BI114" s="61"/>
      <c r="BJ114" s="61"/>
      <c r="BK114" s="61"/>
      <c r="BL114" s="61"/>
      <c r="BM114" s="61"/>
      <c r="BN114" s="62"/>
      <c r="BO114" s="37"/>
      <c r="BP114" s="38"/>
      <c r="BQ114" s="38"/>
      <c r="BR114" s="38"/>
      <c r="BS114" s="38"/>
      <c r="BT114" s="38"/>
      <c r="BU114" s="38"/>
      <c r="BV114" s="38"/>
      <c r="BW114" s="38"/>
      <c r="BX114" s="38"/>
      <c r="BY114" s="38"/>
      <c r="BZ114" s="38"/>
      <c r="CA114" s="38"/>
      <c r="CB114" s="38"/>
      <c r="CC114" s="38"/>
      <c r="CD114" s="38"/>
      <c r="CE114" s="38"/>
      <c r="CF114" s="39"/>
    </row>
    <row r="115" spans="1:84" ht="6.6" customHeight="1" x14ac:dyDescent="0.25">
      <c r="A115" s="45" t="s">
        <v>20</v>
      </c>
      <c r="B115" s="46"/>
      <c r="C115" s="46"/>
      <c r="D115" s="46"/>
      <c r="E115" s="46"/>
      <c r="F115" s="47"/>
      <c r="G115" s="54" t="str">
        <f>IFERROR(IF(VLOOKUP($CJ$7,'4° PERIODO'!$A$7:$BV$36,$CG$60)="","",VLOOKUP($CJ$7,'4° PERIODO'!$A$7:$BV$36,$CG$60)),"")</f>
        <v>¡Felicidades Leydi! Ya al finalizar el año has obtenido un gran progreso. Hemos visto como interactúas mejor con tus compañeros, también como expresas de forma más clara tus ideas y entiendes lo que sucede a tu alrededor. También ya cuentas a tus amigos y amigas con mayor facilidad, eso quiere decir que entiendes mejor las cantidades ¡Bravo!
Gracias mamita y papito por todo el esfuerzo este año, recuerden que hay que seguir trabajando con Leydi, ella tiene mucho interés en aprender y es importante también trabajarlo en casa, hemos visto que las últimas semanas han habido faltas recurrentes así que el proximo año hay que mejorar. En casa que siga ayudando, que tenga un horario y que tengan tiempo en familia, ya nos volvemos a ver el próximo año. 
¡Feliz navidad¡ ¡Próspero año nuevo¡</v>
      </c>
      <c r="H115" s="55"/>
      <c r="I115" s="55"/>
      <c r="J115" s="55"/>
      <c r="K115" s="55"/>
      <c r="L115" s="55"/>
      <c r="M115" s="55"/>
      <c r="N115" s="55"/>
      <c r="O115" s="55"/>
      <c r="P115" s="55"/>
      <c r="Q115" s="55"/>
      <c r="R115" s="55"/>
      <c r="S115" s="55"/>
      <c r="T115" s="55"/>
      <c r="U115" s="55"/>
      <c r="V115" s="55"/>
      <c r="W115" s="55"/>
      <c r="X115" s="55"/>
      <c r="Y115" s="55"/>
      <c r="Z115" s="55"/>
      <c r="AA115" s="55"/>
      <c r="AB115" s="55"/>
      <c r="AC115" s="55"/>
      <c r="AD115" s="55"/>
      <c r="AE115" s="55"/>
      <c r="AF115" s="55"/>
      <c r="AG115" s="55"/>
      <c r="AH115" s="55"/>
      <c r="AI115" s="55"/>
      <c r="AJ115" s="55"/>
      <c r="AK115" s="55"/>
      <c r="AL115" s="55"/>
      <c r="AM115" s="55"/>
      <c r="AN115" s="55"/>
      <c r="AO115" s="55"/>
      <c r="AP115" s="55"/>
      <c r="AQ115" s="55"/>
      <c r="AR115" s="55"/>
      <c r="AS115" s="55"/>
      <c r="AT115" s="55"/>
      <c r="AU115" s="55"/>
      <c r="AV115" s="55"/>
      <c r="AW115" s="55"/>
      <c r="AX115" s="55"/>
      <c r="AY115" s="55"/>
      <c r="AZ115" s="55"/>
      <c r="BA115" s="55"/>
      <c r="BB115" s="55"/>
      <c r="BC115" s="55"/>
      <c r="BD115" s="55"/>
      <c r="BE115" s="55"/>
      <c r="BF115" s="55"/>
      <c r="BG115" s="55"/>
      <c r="BH115" s="55"/>
      <c r="BI115" s="55"/>
      <c r="BJ115" s="55"/>
      <c r="BK115" s="55"/>
      <c r="BL115" s="55"/>
      <c r="BM115" s="55"/>
      <c r="BN115" s="56"/>
      <c r="BO115" s="31"/>
      <c r="BP115" s="32"/>
      <c r="BQ115" s="32"/>
      <c r="BR115" s="32"/>
      <c r="BS115" s="32"/>
      <c r="BT115" s="32"/>
      <c r="BU115" s="32"/>
      <c r="BV115" s="32"/>
      <c r="BW115" s="32"/>
      <c r="BX115" s="32"/>
      <c r="BY115" s="32"/>
      <c r="BZ115" s="32"/>
      <c r="CA115" s="32"/>
      <c r="CB115" s="32"/>
      <c r="CC115" s="32"/>
      <c r="CD115" s="32"/>
      <c r="CE115" s="32"/>
      <c r="CF115" s="33"/>
    </row>
    <row r="116" spans="1:84" ht="6.6" customHeight="1" x14ac:dyDescent="0.25">
      <c r="A116" s="48"/>
      <c r="B116" s="49"/>
      <c r="C116" s="49"/>
      <c r="D116" s="49"/>
      <c r="E116" s="49"/>
      <c r="F116" s="50"/>
      <c r="G116" s="57"/>
      <c r="H116" s="58"/>
      <c r="I116" s="5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c r="BA116" s="58"/>
      <c r="BB116" s="58"/>
      <c r="BC116" s="58"/>
      <c r="BD116" s="58"/>
      <c r="BE116" s="58"/>
      <c r="BF116" s="58"/>
      <c r="BG116" s="58"/>
      <c r="BH116" s="58"/>
      <c r="BI116" s="58"/>
      <c r="BJ116" s="58"/>
      <c r="BK116" s="58"/>
      <c r="BL116" s="58"/>
      <c r="BM116" s="58"/>
      <c r="BN116" s="59"/>
      <c r="BO116" s="34"/>
      <c r="BP116" s="35"/>
      <c r="BQ116" s="35"/>
      <c r="BR116" s="35"/>
      <c r="BS116" s="35"/>
      <c r="BT116" s="35"/>
      <c r="BU116" s="35"/>
      <c r="BV116" s="35"/>
      <c r="BW116" s="35"/>
      <c r="BX116" s="35"/>
      <c r="BY116" s="35"/>
      <c r="BZ116" s="35"/>
      <c r="CA116" s="35"/>
      <c r="CB116" s="35"/>
      <c r="CC116" s="35"/>
      <c r="CD116" s="35"/>
      <c r="CE116" s="35"/>
      <c r="CF116" s="36"/>
    </row>
    <row r="117" spans="1:84" ht="6.6" customHeight="1" x14ac:dyDescent="0.25">
      <c r="A117" s="48"/>
      <c r="B117" s="49"/>
      <c r="C117" s="49"/>
      <c r="D117" s="49"/>
      <c r="E117" s="49"/>
      <c r="F117" s="50"/>
      <c r="G117" s="57"/>
      <c r="H117" s="58"/>
      <c r="I117" s="5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c r="BA117" s="58"/>
      <c r="BB117" s="58"/>
      <c r="BC117" s="58"/>
      <c r="BD117" s="58"/>
      <c r="BE117" s="58"/>
      <c r="BF117" s="58"/>
      <c r="BG117" s="58"/>
      <c r="BH117" s="58"/>
      <c r="BI117" s="58"/>
      <c r="BJ117" s="58"/>
      <c r="BK117" s="58"/>
      <c r="BL117" s="58"/>
      <c r="BM117" s="58"/>
      <c r="BN117" s="59"/>
      <c r="BO117" s="34"/>
      <c r="BP117" s="35"/>
      <c r="BQ117" s="35"/>
      <c r="BR117" s="35"/>
      <c r="BS117" s="35"/>
      <c r="BT117" s="35"/>
      <c r="BU117" s="35"/>
      <c r="BV117" s="35"/>
      <c r="BW117" s="35"/>
      <c r="BX117" s="35"/>
      <c r="BY117" s="35"/>
      <c r="BZ117" s="35"/>
      <c r="CA117" s="35"/>
      <c r="CB117" s="35"/>
      <c r="CC117" s="35"/>
      <c r="CD117" s="35"/>
      <c r="CE117" s="35"/>
      <c r="CF117" s="36"/>
    </row>
    <row r="118" spans="1:84" ht="6.6" customHeight="1" x14ac:dyDescent="0.25">
      <c r="A118" s="48"/>
      <c r="B118" s="49"/>
      <c r="C118" s="49"/>
      <c r="D118" s="49"/>
      <c r="E118" s="49"/>
      <c r="F118" s="50"/>
      <c r="G118" s="57"/>
      <c r="H118" s="58"/>
      <c r="I118" s="5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c r="BA118" s="58"/>
      <c r="BB118" s="58"/>
      <c r="BC118" s="58"/>
      <c r="BD118" s="58"/>
      <c r="BE118" s="58"/>
      <c r="BF118" s="58"/>
      <c r="BG118" s="58"/>
      <c r="BH118" s="58"/>
      <c r="BI118" s="58"/>
      <c r="BJ118" s="58"/>
      <c r="BK118" s="58"/>
      <c r="BL118" s="58"/>
      <c r="BM118" s="58"/>
      <c r="BN118" s="59"/>
      <c r="BO118" s="34"/>
      <c r="BP118" s="35"/>
      <c r="BQ118" s="35"/>
      <c r="BR118" s="35"/>
      <c r="BS118" s="35"/>
      <c r="BT118" s="35"/>
      <c r="BU118" s="35"/>
      <c r="BV118" s="35"/>
      <c r="BW118" s="35"/>
      <c r="BX118" s="35"/>
      <c r="BY118" s="35"/>
      <c r="BZ118" s="35"/>
      <c r="CA118" s="35"/>
      <c r="CB118" s="35"/>
      <c r="CC118" s="35"/>
      <c r="CD118" s="35"/>
      <c r="CE118" s="35"/>
      <c r="CF118" s="36"/>
    </row>
    <row r="119" spans="1:84" ht="6.6" customHeight="1" x14ac:dyDescent="0.25">
      <c r="A119" s="48"/>
      <c r="B119" s="49"/>
      <c r="C119" s="49"/>
      <c r="D119" s="49"/>
      <c r="E119" s="49"/>
      <c r="F119" s="50"/>
      <c r="G119" s="57"/>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c r="BA119" s="58"/>
      <c r="BB119" s="58"/>
      <c r="BC119" s="58"/>
      <c r="BD119" s="58"/>
      <c r="BE119" s="58"/>
      <c r="BF119" s="58"/>
      <c r="BG119" s="58"/>
      <c r="BH119" s="58"/>
      <c r="BI119" s="58"/>
      <c r="BJ119" s="58"/>
      <c r="BK119" s="58"/>
      <c r="BL119" s="58"/>
      <c r="BM119" s="58"/>
      <c r="BN119" s="59"/>
      <c r="BO119" s="34"/>
      <c r="BP119" s="35"/>
      <c r="BQ119" s="35"/>
      <c r="BR119" s="35"/>
      <c r="BS119" s="35"/>
      <c r="BT119" s="35"/>
      <c r="BU119" s="35"/>
      <c r="BV119" s="35"/>
      <c r="BW119" s="35"/>
      <c r="BX119" s="35"/>
      <c r="BY119" s="35"/>
      <c r="BZ119" s="35"/>
      <c r="CA119" s="35"/>
      <c r="CB119" s="35"/>
      <c r="CC119" s="35"/>
      <c r="CD119" s="35"/>
      <c r="CE119" s="35"/>
      <c r="CF119" s="36"/>
    </row>
    <row r="120" spans="1:84" ht="6.6" customHeight="1" x14ac:dyDescent="0.25">
      <c r="A120" s="48"/>
      <c r="B120" s="49"/>
      <c r="C120" s="49"/>
      <c r="D120" s="49"/>
      <c r="E120" s="49"/>
      <c r="F120" s="50"/>
      <c r="G120" s="57"/>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c r="BA120" s="58"/>
      <c r="BB120" s="58"/>
      <c r="BC120" s="58"/>
      <c r="BD120" s="58"/>
      <c r="BE120" s="58"/>
      <c r="BF120" s="58"/>
      <c r="BG120" s="58"/>
      <c r="BH120" s="58"/>
      <c r="BI120" s="58"/>
      <c r="BJ120" s="58"/>
      <c r="BK120" s="58"/>
      <c r="BL120" s="58"/>
      <c r="BM120" s="58"/>
      <c r="BN120" s="59"/>
      <c r="BO120" s="34"/>
      <c r="BP120" s="35"/>
      <c r="BQ120" s="35"/>
      <c r="BR120" s="35"/>
      <c r="BS120" s="35"/>
      <c r="BT120" s="35"/>
      <c r="BU120" s="35"/>
      <c r="BV120" s="35"/>
      <c r="BW120" s="35"/>
      <c r="BX120" s="35"/>
      <c r="BY120" s="35"/>
      <c r="BZ120" s="35"/>
      <c r="CA120" s="35"/>
      <c r="CB120" s="35"/>
      <c r="CC120" s="35"/>
      <c r="CD120" s="35"/>
      <c r="CE120" s="35"/>
      <c r="CF120" s="36"/>
    </row>
    <row r="121" spans="1:84" ht="6.6" customHeight="1" x14ac:dyDescent="0.25">
      <c r="A121" s="48"/>
      <c r="B121" s="49"/>
      <c r="C121" s="49"/>
      <c r="D121" s="49"/>
      <c r="E121" s="49"/>
      <c r="F121" s="50"/>
      <c r="G121" s="57"/>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c r="BA121" s="58"/>
      <c r="BB121" s="58"/>
      <c r="BC121" s="58"/>
      <c r="BD121" s="58"/>
      <c r="BE121" s="58"/>
      <c r="BF121" s="58"/>
      <c r="BG121" s="58"/>
      <c r="BH121" s="58"/>
      <c r="BI121" s="58"/>
      <c r="BJ121" s="58"/>
      <c r="BK121" s="58"/>
      <c r="BL121" s="58"/>
      <c r="BM121" s="58"/>
      <c r="BN121" s="59"/>
      <c r="BO121" s="34"/>
      <c r="BP121" s="35"/>
      <c r="BQ121" s="35"/>
      <c r="BR121" s="35"/>
      <c r="BS121" s="35"/>
      <c r="BT121" s="35"/>
      <c r="BU121" s="35"/>
      <c r="BV121" s="35"/>
      <c r="BW121" s="35"/>
      <c r="BX121" s="35"/>
      <c r="BY121" s="35"/>
      <c r="BZ121" s="35"/>
      <c r="CA121" s="35"/>
      <c r="CB121" s="35"/>
      <c r="CC121" s="35"/>
      <c r="CD121" s="35"/>
      <c r="CE121" s="35"/>
      <c r="CF121" s="36"/>
    </row>
    <row r="122" spans="1:84" ht="6.6" customHeight="1" x14ac:dyDescent="0.25">
      <c r="A122" s="48"/>
      <c r="B122" s="49"/>
      <c r="C122" s="49"/>
      <c r="D122" s="49"/>
      <c r="E122" s="49"/>
      <c r="F122" s="50"/>
      <c r="G122" s="57"/>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c r="BA122" s="58"/>
      <c r="BB122" s="58"/>
      <c r="BC122" s="58"/>
      <c r="BD122" s="58"/>
      <c r="BE122" s="58"/>
      <c r="BF122" s="58"/>
      <c r="BG122" s="58"/>
      <c r="BH122" s="58"/>
      <c r="BI122" s="58"/>
      <c r="BJ122" s="58"/>
      <c r="BK122" s="58"/>
      <c r="BL122" s="58"/>
      <c r="BM122" s="58"/>
      <c r="BN122" s="59"/>
      <c r="BO122" s="34"/>
      <c r="BP122" s="35"/>
      <c r="BQ122" s="35"/>
      <c r="BR122" s="35"/>
      <c r="BS122" s="35"/>
      <c r="BT122" s="35"/>
      <c r="BU122" s="35"/>
      <c r="BV122" s="35"/>
      <c r="BW122" s="35"/>
      <c r="BX122" s="35"/>
      <c r="BY122" s="35"/>
      <c r="BZ122" s="35"/>
      <c r="CA122" s="35"/>
      <c r="CB122" s="35"/>
      <c r="CC122" s="35"/>
      <c r="CD122" s="35"/>
      <c r="CE122" s="35"/>
      <c r="CF122" s="36"/>
    </row>
    <row r="123" spans="1:84" ht="6.6" customHeight="1" x14ac:dyDescent="0.25">
      <c r="A123" s="48"/>
      <c r="B123" s="49"/>
      <c r="C123" s="49"/>
      <c r="D123" s="49"/>
      <c r="E123" s="49"/>
      <c r="F123" s="50"/>
      <c r="G123" s="57"/>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c r="BA123" s="58"/>
      <c r="BB123" s="58"/>
      <c r="BC123" s="58"/>
      <c r="BD123" s="58"/>
      <c r="BE123" s="58"/>
      <c r="BF123" s="58"/>
      <c r="BG123" s="58"/>
      <c r="BH123" s="58"/>
      <c r="BI123" s="58"/>
      <c r="BJ123" s="58"/>
      <c r="BK123" s="58"/>
      <c r="BL123" s="58"/>
      <c r="BM123" s="58"/>
      <c r="BN123" s="59"/>
      <c r="BO123" s="34"/>
      <c r="BP123" s="35"/>
      <c r="BQ123" s="35"/>
      <c r="BR123" s="35"/>
      <c r="BS123" s="35"/>
      <c r="BT123" s="35"/>
      <c r="BU123" s="35"/>
      <c r="BV123" s="35"/>
      <c r="BW123" s="35"/>
      <c r="BX123" s="35"/>
      <c r="BY123" s="35"/>
      <c r="BZ123" s="35"/>
      <c r="CA123" s="35"/>
      <c r="CB123" s="35"/>
      <c r="CC123" s="35"/>
      <c r="CD123" s="35"/>
      <c r="CE123" s="35"/>
      <c r="CF123" s="36"/>
    </row>
    <row r="124" spans="1:84" ht="6.6" customHeight="1" x14ac:dyDescent="0.25">
      <c r="A124" s="48"/>
      <c r="B124" s="49"/>
      <c r="C124" s="49"/>
      <c r="D124" s="49"/>
      <c r="E124" s="49"/>
      <c r="F124" s="50"/>
      <c r="G124" s="57"/>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c r="BA124" s="58"/>
      <c r="BB124" s="58"/>
      <c r="BC124" s="58"/>
      <c r="BD124" s="58"/>
      <c r="BE124" s="58"/>
      <c r="BF124" s="58"/>
      <c r="BG124" s="58"/>
      <c r="BH124" s="58"/>
      <c r="BI124" s="58"/>
      <c r="BJ124" s="58"/>
      <c r="BK124" s="58"/>
      <c r="BL124" s="58"/>
      <c r="BM124" s="58"/>
      <c r="BN124" s="59"/>
      <c r="BO124" s="34"/>
      <c r="BP124" s="35"/>
      <c r="BQ124" s="35"/>
      <c r="BR124" s="35"/>
      <c r="BS124" s="35"/>
      <c r="BT124" s="35"/>
      <c r="BU124" s="35"/>
      <c r="BV124" s="35"/>
      <c r="BW124" s="35"/>
      <c r="BX124" s="35"/>
      <c r="BY124" s="35"/>
      <c r="BZ124" s="35"/>
      <c r="CA124" s="35"/>
      <c r="CB124" s="35"/>
      <c r="CC124" s="35"/>
      <c r="CD124" s="35"/>
      <c r="CE124" s="35"/>
      <c r="CF124" s="36"/>
    </row>
    <row r="125" spans="1:84" ht="6.6" customHeight="1" x14ac:dyDescent="0.25">
      <c r="A125" s="48"/>
      <c r="B125" s="49"/>
      <c r="C125" s="49"/>
      <c r="D125" s="49"/>
      <c r="E125" s="49"/>
      <c r="F125" s="50"/>
      <c r="G125" s="57"/>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c r="BA125" s="58"/>
      <c r="BB125" s="58"/>
      <c r="BC125" s="58"/>
      <c r="BD125" s="58"/>
      <c r="BE125" s="58"/>
      <c r="BF125" s="58"/>
      <c r="BG125" s="58"/>
      <c r="BH125" s="58"/>
      <c r="BI125" s="58"/>
      <c r="BJ125" s="58"/>
      <c r="BK125" s="58"/>
      <c r="BL125" s="58"/>
      <c r="BM125" s="58"/>
      <c r="BN125" s="59"/>
      <c r="BO125" s="34"/>
      <c r="BP125" s="35"/>
      <c r="BQ125" s="35"/>
      <c r="BR125" s="35"/>
      <c r="BS125" s="35"/>
      <c r="BT125" s="35"/>
      <c r="BU125" s="35"/>
      <c r="BV125" s="35"/>
      <c r="BW125" s="35"/>
      <c r="BX125" s="35"/>
      <c r="BY125" s="35"/>
      <c r="BZ125" s="35"/>
      <c r="CA125" s="35"/>
      <c r="CB125" s="35"/>
      <c r="CC125" s="35"/>
      <c r="CD125" s="35"/>
      <c r="CE125" s="35"/>
      <c r="CF125" s="36"/>
    </row>
    <row r="126" spans="1:84" ht="6.6" customHeight="1" x14ac:dyDescent="0.25">
      <c r="A126" s="48"/>
      <c r="B126" s="49"/>
      <c r="C126" s="49"/>
      <c r="D126" s="49"/>
      <c r="E126" s="49"/>
      <c r="F126" s="50"/>
      <c r="G126" s="57"/>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c r="BA126" s="58"/>
      <c r="BB126" s="58"/>
      <c r="BC126" s="58"/>
      <c r="BD126" s="58"/>
      <c r="BE126" s="58"/>
      <c r="BF126" s="58"/>
      <c r="BG126" s="58"/>
      <c r="BH126" s="58"/>
      <c r="BI126" s="58"/>
      <c r="BJ126" s="58"/>
      <c r="BK126" s="58"/>
      <c r="BL126" s="58"/>
      <c r="BM126" s="58"/>
      <c r="BN126" s="59"/>
      <c r="BO126" s="34"/>
      <c r="BP126" s="35"/>
      <c r="BQ126" s="35"/>
      <c r="BR126" s="35"/>
      <c r="BS126" s="35"/>
      <c r="BT126" s="35"/>
      <c r="BU126" s="35"/>
      <c r="BV126" s="35"/>
      <c r="BW126" s="35"/>
      <c r="BX126" s="35"/>
      <c r="BY126" s="35"/>
      <c r="BZ126" s="35"/>
      <c r="CA126" s="35"/>
      <c r="CB126" s="35"/>
      <c r="CC126" s="35"/>
      <c r="CD126" s="35"/>
      <c r="CE126" s="35"/>
      <c r="CF126" s="36"/>
    </row>
    <row r="127" spans="1:84" ht="6.6" customHeight="1" x14ac:dyDescent="0.25">
      <c r="A127" s="48"/>
      <c r="B127" s="49"/>
      <c r="C127" s="49"/>
      <c r="D127" s="49"/>
      <c r="E127" s="49"/>
      <c r="F127" s="50"/>
      <c r="G127" s="57"/>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c r="BA127" s="58"/>
      <c r="BB127" s="58"/>
      <c r="BC127" s="58"/>
      <c r="BD127" s="58"/>
      <c r="BE127" s="58"/>
      <c r="BF127" s="58"/>
      <c r="BG127" s="58"/>
      <c r="BH127" s="58"/>
      <c r="BI127" s="58"/>
      <c r="BJ127" s="58"/>
      <c r="BK127" s="58"/>
      <c r="BL127" s="58"/>
      <c r="BM127" s="58"/>
      <c r="BN127" s="59"/>
      <c r="BO127" s="34"/>
      <c r="BP127" s="35"/>
      <c r="BQ127" s="35"/>
      <c r="BR127" s="35"/>
      <c r="BS127" s="35"/>
      <c r="BT127" s="35"/>
      <c r="BU127" s="35"/>
      <c r="BV127" s="35"/>
      <c r="BW127" s="35"/>
      <c r="BX127" s="35"/>
      <c r="BY127" s="35"/>
      <c r="BZ127" s="35"/>
      <c r="CA127" s="35"/>
      <c r="CB127" s="35"/>
      <c r="CC127" s="35"/>
      <c r="CD127" s="35"/>
      <c r="CE127" s="35"/>
      <c r="CF127" s="36"/>
    </row>
    <row r="128" spans="1:84" ht="6.6" customHeight="1" x14ac:dyDescent="0.25">
      <c r="A128" s="48"/>
      <c r="B128" s="49"/>
      <c r="C128" s="49"/>
      <c r="D128" s="49"/>
      <c r="E128" s="49"/>
      <c r="F128" s="50"/>
      <c r="G128" s="57"/>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c r="BA128" s="58"/>
      <c r="BB128" s="58"/>
      <c r="BC128" s="58"/>
      <c r="BD128" s="58"/>
      <c r="BE128" s="58"/>
      <c r="BF128" s="58"/>
      <c r="BG128" s="58"/>
      <c r="BH128" s="58"/>
      <c r="BI128" s="58"/>
      <c r="BJ128" s="58"/>
      <c r="BK128" s="58"/>
      <c r="BL128" s="58"/>
      <c r="BM128" s="58"/>
      <c r="BN128" s="59"/>
      <c r="BO128" s="34"/>
      <c r="BP128" s="35"/>
      <c r="BQ128" s="35"/>
      <c r="BR128" s="35"/>
      <c r="BS128" s="35"/>
      <c r="BT128" s="35"/>
      <c r="BU128" s="35"/>
      <c r="BV128" s="35"/>
      <c r="BW128" s="35"/>
      <c r="BX128" s="35"/>
      <c r="BY128" s="35"/>
      <c r="BZ128" s="35"/>
      <c r="CA128" s="35"/>
      <c r="CB128" s="35"/>
      <c r="CC128" s="35"/>
      <c r="CD128" s="35"/>
      <c r="CE128" s="35"/>
      <c r="CF128" s="36"/>
    </row>
    <row r="129" spans="1:84" ht="6.6" customHeight="1" x14ac:dyDescent="0.25">
      <c r="A129" s="48"/>
      <c r="B129" s="49"/>
      <c r="C129" s="49"/>
      <c r="D129" s="49"/>
      <c r="E129" s="49"/>
      <c r="F129" s="50"/>
      <c r="G129" s="57"/>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c r="BA129" s="58"/>
      <c r="BB129" s="58"/>
      <c r="BC129" s="58"/>
      <c r="BD129" s="58"/>
      <c r="BE129" s="58"/>
      <c r="BF129" s="58"/>
      <c r="BG129" s="58"/>
      <c r="BH129" s="58"/>
      <c r="BI129" s="58"/>
      <c r="BJ129" s="58"/>
      <c r="BK129" s="58"/>
      <c r="BL129" s="58"/>
      <c r="BM129" s="58"/>
      <c r="BN129" s="59"/>
      <c r="BO129" s="34"/>
      <c r="BP129" s="35"/>
      <c r="BQ129" s="35"/>
      <c r="BR129" s="35"/>
      <c r="BS129" s="35"/>
      <c r="BT129" s="35"/>
      <c r="BU129" s="35"/>
      <c r="BV129" s="35"/>
      <c r="BW129" s="35"/>
      <c r="BX129" s="35"/>
      <c r="BY129" s="35"/>
      <c r="BZ129" s="35"/>
      <c r="CA129" s="35"/>
      <c r="CB129" s="35"/>
      <c r="CC129" s="35"/>
      <c r="CD129" s="35"/>
      <c r="CE129" s="35"/>
      <c r="CF129" s="36"/>
    </row>
    <row r="130" spans="1:84" ht="6.6" customHeight="1" x14ac:dyDescent="0.25">
      <c r="A130" s="48"/>
      <c r="B130" s="49"/>
      <c r="C130" s="49"/>
      <c r="D130" s="49"/>
      <c r="E130" s="49"/>
      <c r="F130" s="50"/>
      <c r="G130" s="57"/>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c r="BA130" s="58"/>
      <c r="BB130" s="58"/>
      <c r="BC130" s="58"/>
      <c r="BD130" s="58"/>
      <c r="BE130" s="58"/>
      <c r="BF130" s="58"/>
      <c r="BG130" s="58"/>
      <c r="BH130" s="58"/>
      <c r="BI130" s="58"/>
      <c r="BJ130" s="58"/>
      <c r="BK130" s="58"/>
      <c r="BL130" s="58"/>
      <c r="BM130" s="58"/>
      <c r="BN130" s="59"/>
      <c r="BO130" s="34"/>
      <c r="BP130" s="35"/>
      <c r="BQ130" s="35"/>
      <c r="BR130" s="35"/>
      <c r="BS130" s="35"/>
      <c r="BT130" s="35"/>
      <c r="BU130" s="35"/>
      <c r="BV130" s="35"/>
      <c r="BW130" s="35"/>
      <c r="BX130" s="35"/>
      <c r="BY130" s="35"/>
      <c r="BZ130" s="35"/>
      <c r="CA130" s="35"/>
      <c r="CB130" s="35"/>
      <c r="CC130" s="35"/>
      <c r="CD130" s="35"/>
      <c r="CE130" s="35"/>
      <c r="CF130" s="36"/>
    </row>
    <row r="131" spans="1:84" ht="6.6" customHeight="1" x14ac:dyDescent="0.25">
      <c r="A131" s="48"/>
      <c r="B131" s="49"/>
      <c r="C131" s="49"/>
      <c r="D131" s="49"/>
      <c r="E131" s="49"/>
      <c r="F131" s="50"/>
      <c r="G131" s="57"/>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c r="BA131" s="58"/>
      <c r="BB131" s="58"/>
      <c r="BC131" s="58"/>
      <c r="BD131" s="58"/>
      <c r="BE131" s="58"/>
      <c r="BF131" s="58"/>
      <c r="BG131" s="58"/>
      <c r="BH131" s="58"/>
      <c r="BI131" s="58"/>
      <c r="BJ131" s="58"/>
      <c r="BK131" s="58"/>
      <c r="BL131" s="58"/>
      <c r="BM131" s="58"/>
      <c r="BN131" s="59"/>
      <c r="BO131" s="34"/>
      <c r="BP131" s="35"/>
      <c r="BQ131" s="35"/>
      <c r="BR131" s="35"/>
      <c r="BS131" s="35"/>
      <c r="BT131" s="35"/>
      <c r="BU131" s="35"/>
      <c r="BV131" s="35"/>
      <c r="BW131" s="35"/>
      <c r="BX131" s="35"/>
      <c r="BY131" s="35"/>
      <c r="BZ131" s="35"/>
      <c r="CA131" s="35"/>
      <c r="CB131" s="35"/>
      <c r="CC131" s="35"/>
      <c r="CD131" s="35"/>
      <c r="CE131" s="35"/>
      <c r="CF131" s="36"/>
    </row>
    <row r="132" spans="1:84" ht="6.6" customHeight="1" x14ac:dyDescent="0.25">
      <c r="A132" s="51"/>
      <c r="B132" s="52"/>
      <c r="C132" s="52"/>
      <c r="D132" s="52"/>
      <c r="E132" s="52"/>
      <c r="F132" s="53"/>
      <c r="G132" s="60"/>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c r="AE132" s="61"/>
      <c r="AF132" s="61"/>
      <c r="AG132" s="61"/>
      <c r="AH132" s="61"/>
      <c r="AI132" s="61"/>
      <c r="AJ132" s="61"/>
      <c r="AK132" s="61"/>
      <c r="AL132" s="61"/>
      <c r="AM132" s="61"/>
      <c r="AN132" s="61"/>
      <c r="AO132" s="61"/>
      <c r="AP132" s="61"/>
      <c r="AQ132" s="61"/>
      <c r="AR132" s="61"/>
      <c r="AS132" s="61"/>
      <c r="AT132" s="61"/>
      <c r="AU132" s="61"/>
      <c r="AV132" s="61"/>
      <c r="AW132" s="61"/>
      <c r="AX132" s="61"/>
      <c r="AY132" s="61"/>
      <c r="AZ132" s="61"/>
      <c r="BA132" s="61"/>
      <c r="BB132" s="61"/>
      <c r="BC132" s="61"/>
      <c r="BD132" s="61"/>
      <c r="BE132" s="61"/>
      <c r="BF132" s="61"/>
      <c r="BG132" s="61"/>
      <c r="BH132" s="61"/>
      <c r="BI132" s="61"/>
      <c r="BJ132" s="61"/>
      <c r="BK132" s="61"/>
      <c r="BL132" s="61"/>
      <c r="BM132" s="61"/>
      <c r="BN132" s="62"/>
      <c r="BO132" s="37"/>
      <c r="BP132" s="38"/>
      <c r="BQ132" s="38"/>
      <c r="BR132" s="38"/>
      <c r="BS132" s="38"/>
      <c r="BT132" s="38"/>
      <c r="BU132" s="38"/>
      <c r="BV132" s="38"/>
      <c r="BW132" s="38"/>
      <c r="BX132" s="38"/>
      <c r="BY132" s="38"/>
      <c r="BZ132" s="38"/>
      <c r="CA132" s="38"/>
      <c r="CB132" s="38"/>
      <c r="CC132" s="38"/>
      <c r="CD132" s="38"/>
      <c r="CE132" s="38"/>
      <c r="CF132" s="39"/>
    </row>
  </sheetData>
  <mergeCells count="327">
    <mergeCell ref="S3:BS5"/>
    <mergeCell ref="A61:F78"/>
    <mergeCell ref="G61:BN78"/>
    <mergeCell ref="BO61:CF78"/>
    <mergeCell ref="K9:Z9"/>
    <mergeCell ref="K8:Z8"/>
    <mergeCell ref="K7:Z7"/>
    <mergeCell ref="BG10:BV10"/>
    <mergeCell ref="BG9:BV9"/>
    <mergeCell ref="BG8:BV8"/>
    <mergeCell ref="BG7:BV7"/>
    <mergeCell ref="AA12:BV12"/>
    <mergeCell ref="AA11:BV11"/>
    <mergeCell ref="AA10:AP10"/>
    <mergeCell ref="K11:Z11"/>
    <mergeCell ref="AA9:AP9"/>
    <mergeCell ref="AA8:AP8"/>
    <mergeCell ref="AA7:AP7"/>
    <mergeCell ref="AQ10:BF10"/>
    <mergeCell ref="BF18:BO18"/>
    <mergeCell ref="K20:AB20"/>
    <mergeCell ref="AC20:AE20"/>
    <mergeCell ref="AF20:AO20"/>
    <mergeCell ref="BF24:BO24"/>
    <mergeCell ref="A60:F60"/>
    <mergeCell ref="BC17:BE17"/>
    <mergeCell ref="K16:AB16"/>
    <mergeCell ref="AC16:AE16"/>
    <mergeCell ref="AF16:AO16"/>
    <mergeCell ref="AQ8:BF8"/>
    <mergeCell ref="BP15:BR15"/>
    <mergeCell ref="BS15:CB15"/>
    <mergeCell ref="AP15:AR15"/>
    <mergeCell ref="AS15:BB15"/>
    <mergeCell ref="AP16:AR16"/>
    <mergeCell ref="AS16:BB16"/>
    <mergeCell ref="BC16:BE16"/>
    <mergeCell ref="BF17:BO17"/>
    <mergeCell ref="BP17:BR17"/>
    <mergeCell ref="BS17:CB17"/>
    <mergeCell ref="BP18:BR18"/>
    <mergeCell ref="BS18:CB18"/>
    <mergeCell ref="K19:AB19"/>
    <mergeCell ref="AC19:AE19"/>
    <mergeCell ref="AF19:AO19"/>
    <mergeCell ref="AP19:AR19"/>
    <mergeCell ref="AS19:BB19"/>
    <mergeCell ref="BC19:BE19"/>
    <mergeCell ref="AQ7:BF7"/>
    <mergeCell ref="AQ9:BF9"/>
    <mergeCell ref="K10:Z10"/>
    <mergeCell ref="A52:I52"/>
    <mergeCell ref="J52:BK52"/>
    <mergeCell ref="AD36:AH36"/>
    <mergeCell ref="AI36:BC36"/>
    <mergeCell ref="AP27:AR27"/>
    <mergeCell ref="AS27:BB27"/>
    <mergeCell ref="K12:Z12"/>
    <mergeCell ref="BC15:BE15"/>
    <mergeCell ref="BF15:BO15"/>
    <mergeCell ref="BF16:BO16"/>
    <mergeCell ref="K18:AB18"/>
    <mergeCell ref="AC18:AE18"/>
    <mergeCell ref="AF18:AO18"/>
    <mergeCell ref="AP18:AR18"/>
    <mergeCell ref="AS18:BB18"/>
    <mergeCell ref="BC18:BE18"/>
    <mergeCell ref="AC14:CB14"/>
    <mergeCell ref="A14:J15"/>
    <mergeCell ref="K14:AB15"/>
    <mergeCell ref="AC15:AE15"/>
    <mergeCell ref="AF15:AO15"/>
    <mergeCell ref="BF19:BO19"/>
    <mergeCell ref="BP19:BR19"/>
    <mergeCell ref="BS19:CB19"/>
    <mergeCell ref="BP16:BR16"/>
    <mergeCell ref="BS16:CB16"/>
    <mergeCell ref="K17:AB17"/>
    <mergeCell ref="AC17:AE17"/>
    <mergeCell ref="AF17:AO17"/>
    <mergeCell ref="AP17:AR17"/>
    <mergeCell ref="AS17:BB17"/>
    <mergeCell ref="BP20:BR20"/>
    <mergeCell ref="BS20:CB20"/>
    <mergeCell ref="K21:AB21"/>
    <mergeCell ref="AC21:AE21"/>
    <mergeCell ref="AF21:AO21"/>
    <mergeCell ref="AP21:AR21"/>
    <mergeCell ref="AS21:BB21"/>
    <mergeCell ref="BC21:BE21"/>
    <mergeCell ref="BF21:BO21"/>
    <mergeCell ref="BP21:BR21"/>
    <mergeCell ref="BS21:CB21"/>
    <mergeCell ref="AP20:AR20"/>
    <mergeCell ref="AS20:BB20"/>
    <mergeCell ref="BC20:BE20"/>
    <mergeCell ref="BF20:BO20"/>
    <mergeCell ref="K22:AB22"/>
    <mergeCell ref="AC22:AE22"/>
    <mergeCell ref="AF22:AO22"/>
    <mergeCell ref="AP22:AR22"/>
    <mergeCell ref="AS22:BB22"/>
    <mergeCell ref="BC22:BE22"/>
    <mergeCell ref="BF22:BO22"/>
    <mergeCell ref="BP22:BR22"/>
    <mergeCell ref="BS22:CB22"/>
    <mergeCell ref="K25:AB25"/>
    <mergeCell ref="AC25:AE25"/>
    <mergeCell ref="AF25:AO25"/>
    <mergeCell ref="AP25:AR25"/>
    <mergeCell ref="K24:AB24"/>
    <mergeCell ref="AC24:AE24"/>
    <mergeCell ref="AF24:AO24"/>
    <mergeCell ref="AP24:AR24"/>
    <mergeCell ref="AS24:BB24"/>
    <mergeCell ref="K23:AB23"/>
    <mergeCell ref="AC23:AE23"/>
    <mergeCell ref="AF23:AO23"/>
    <mergeCell ref="AP23:AR23"/>
    <mergeCell ref="AS23:BB23"/>
    <mergeCell ref="BC23:BE23"/>
    <mergeCell ref="BF23:BO23"/>
    <mergeCell ref="BP23:BR23"/>
    <mergeCell ref="BS23:CB23"/>
    <mergeCell ref="K26:AB26"/>
    <mergeCell ref="AC26:AE26"/>
    <mergeCell ref="AF26:AO26"/>
    <mergeCell ref="AP26:AR26"/>
    <mergeCell ref="AS26:BB26"/>
    <mergeCell ref="BC26:BE26"/>
    <mergeCell ref="BF26:BO26"/>
    <mergeCell ref="BP26:BR26"/>
    <mergeCell ref="BS26:CB26"/>
    <mergeCell ref="AF28:AO28"/>
    <mergeCell ref="AP28:AR28"/>
    <mergeCell ref="AS28:BB28"/>
    <mergeCell ref="BC28:BE28"/>
    <mergeCell ref="BF28:BO28"/>
    <mergeCell ref="BP28:BR28"/>
    <mergeCell ref="BS28:CB28"/>
    <mergeCell ref="CC21:CF21"/>
    <mergeCell ref="CC22:CF22"/>
    <mergeCell ref="AS25:BB25"/>
    <mergeCell ref="BC25:BE25"/>
    <mergeCell ref="BF25:BO25"/>
    <mergeCell ref="BP25:BR25"/>
    <mergeCell ref="BS25:CB25"/>
    <mergeCell ref="BC24:BE24"/>
    <mergeCell ref="BP24:BR24"/>
    <mergeCell ref="BS24:CB24"/>
    <mergeCell ref="CC24:CF24"/>
    <mergeCell ref="A16:J18"/>
    <mergeCell ref="A19:J20"/>
    <mergeCell ref="A21:J25"/>
    <mergeCell ref="A26:J28"/>
    <mergeCell ref="BF29:BO29"/>
    <mergeCell ref="BP29:BR29"/>
    <mergeCell ref="BS29:CB29"/>
    <mergeCell ref="CC29:CF29"/>
    <mergeCell ref="CC28:CF28"/>
    <mergeCell ref="K29:AB29"/>
    <mergeCell ref="AC29:AE29"/>
    <mergeCell ref="AF29:AO29"/>
    <mergeCell ref="AP29:AR29"/>
    <mergeCell ref="AS29:BB29"/>
    <mergeCell ref="BC29:BE29"/>
    <mergeCell ref="K27:AB27"/>
    <mergeCell ref="AC27:AE27"/>
    <mergeCell ref="AF27:AO27"/>
    <mergeCell ref="BC27:BE27"/>
    <mergeCell ref="BF27:BO27"/>
    <mergeCell ref="BP27:BR27"/>
    <mergeCell ref="BS27:CB27"/>
    <mergeCell ref="K28:AB28"/>
    <mergeCell ref="AC28:AE28"/>
    <mergeCell ref="K32:AB32"/>
    <mergeCell ref="AC32:AE32"/>
    <mergeCell ref="AF32:AO32"/>
    <mergeCell ref="AP32:AR32"/>
    <mergeCell ref="AS32:BB32"/>
    <mergeCell ref="BC32:BE32"/>
    <mergeCell ref="K31:AB31"/>
    <mergeCell ref="AC31:AE31"/>
    <mergeCell ref="AF31:AO31"/>
    <mergeCell ref="AP31:AR31"/>
    <mergeCell ref="AS31:BB31"/>
    <mergeCell ref="BC31:BE31"/>
    <mergeCell ref="A29:J30"/>
    <mergeCell ref="A33:J33"/>
    <mergeCell ref="A31:J32"/>
    <mergeCell ref="AD35:AH35"/>
    <mergeCell ref="AI35:BC35"/>
    <mergeCell ref="BF33:BO33"/>
    <mergeCell ref="BP33:BR33"/>
    <mergeCell ref="BS33:CB33"/>
    <mergeCell ref="K33:AB33"/>
    <mergeCell ref="AC33:AE33"/>
    <mergeCell ref="AF33:AO33"/>
    <mergeCell ref="AP33:AR33"/>
    <mergeCell ref="AS33:BB33"/>
    <mergeCell ref="BC33:BE33"/>
    <mergeCell ref="AS30:BB30"/>
    <mergeCell ref="BC30:BE30"/>
    <mergeCell ref="K30:AB30"/>
    <mergeCell ref="AC30:AE30"/>
    <mergeCell ref="AF30:AO30"/>
    <mergeCell ref="AP30:AR30"/>
    <mergeCell ref="BF32:BO32"/>
    <mergeCell ref="BP32:BR32"/>
    <mergeCell ref="BS32:CB32"/>
    <mergeCell ref="BF31:BO31"/>
    <mergeCell ref="A43:H43"/>
    <mergeCell ref="I43:P43"/>
    <mergeCell ref="Q43:X43"/>
    <mergeCell ref="Y43:AF43"/>
    <mergeCell ref="AG43:AN43"/>
    <mergeCell ref="AD37:AH37"/>
    <mergeCell ref="AI37:BC37"/>
    <mergeCell ref="AD38:AH38"/>
    <mergeCell ref="AI38:BC38"/>
    <mergeCell ref="A41:H42"/>
    <mergeCell ref="I41:X41"/>
    <mergeCell ref="I42:P42"/>
    <mergeCell ref="Q42:X42"/>
    <mergeCell ref="Y42:AF42"/>
    <mergeCell ref="AG42:AN42"/>
    <mergeCell ref="A39:CF39"/>
    <mergeCell ref="Y41:AN41"/>
    <mergeCell ref="A44:H44"/>
    <mergeCell ref="I44:P44"/>
    <mergeCell ref="Q44:X44"/>
    <mergeCell ref="Y44:AF44"/>
    <mergeCell ref="AG44:AN44"/>
    <mergeCell ref="A45:H45"/>
    <mergeCell ref="I45:P45"/>
    <mergeCell ref="Q45:X45"/>
    <mergeCell ref="Y45:AF45"/>
    <mergeCell ref="AG45:AN45"/>
    <mergeCell ref="A56:I56"/>
    <mergeCell ref="J56:BK56"/>
    <mergeCell ref="BL56:BN56"/>
    <mergeCell ref="BO56:BQ56"/>
    <mergeCell ref="BR56:BT56"/>
    <mergeCell ref="A54:I54"/>
    <mergeCell ref="J54:BK54"/>
    <mergeCell ref="BL54:BN54"/>
    <mergeCell ref="BL53:BN53"/>
    <mergeCell ref="BO53:BQ53"/>
    <mergeCell ref="BR53:BT53"/>
    <mergeCell ref="A55:I55"/>
    <mergeCell ref="J55:BK55"/>
    <mergeCell ref="BL55:BN55"/>
    <mergeCell ref="BO55:BQ55"/>
    <mergeCell ref="BR55:BT55"/>
    <mergeCell ref="A51:I51"/>
    <mergeCell ref="J51:BK51"/>
    <mergeCell ref="BL51:BN51"/>
    <mergeCell ref="BO51:BQ51"/>
    <mergeCell ref="BR51:BT51"/>
    <mergeCell ref="A46:H46"/>
    <mergeCell ref="I46:P46"/>
    <mergeCell ref="J53:BK53"/>
    <mergeCell ref="Q46:X46"/>
    <mergeCell ref="Y46:AF46"/>
    <mergeCell ref="AG46:AN46"/>
    <mergeCell ref="A47:H47"/>
    <mergeCell ref="I47:P47"/>
    <mergeCell ref="Q47:X47"/>
    <mergeCell ref="Y47:AF47"/>
    <mergeCell ref="AG47:AN47"/>
    <mergeCell ref="A79:F96"/>
    <mergeCell ref="G79:BN96"/>
    <mergeCell ref="A97:F114"/>
    <mergeCell ref="G97:BN114"/>
    <mergeCell ref="A115:F132"/>
    <mergeCell ref="G115:BN132"/>
    <mergeCell ref="CH7:CI8"/>
    <mergeCell ref="CJ7:CJ8"/>
    <mergeCell ref="CH5:CI6"/>
    <mergeCell ref="CJ5:CJ6"/>
    <mergeCell ref="A58:CF58"/>
    <mergeCell ref="A49:CF49"/>
    <mergeCell ref="G60:BN60"/>
    <mergeCell ref="BO60:CF60"/>
    <mergeCell ref="BO54:BQ54"/>
    <mergeCell ref="BR54:BT54"/>
    <mergeCell ref="BU54:BW54"/>
    <mergeCell ref="BX54:CF54"/>
    <mergeCell ref="BL52:BN52"/>
    <mergeCell ref="BO52:BQ52"/>
    <mergeCell ref="BR52:BT52"/>
    <mergeCell ref="BU52:BW52"/>
    <mergeCell ref="BX52:CF52"/>
    <mergeCell ref="A53:I53"/>
    <mergeCell ref="CC14:CF15"/>
    <mergeCell ref="CC16:CF16"/>
    <mergeCell ref="CC17:CF17"/>
    <mergeCell ref="CC18:CF18"/>
    <mergeCell ref="CC19:CF19"/>
    <mergeCell ref="CC20:CF20"/>
    <mergeCell ref="CC25:CF25"/>
    <mergeCell ref="CC27:CF27"/>
    <mergeCell ref="CC26:CF26"/>
    <mergeCell ref="CC23:CF23"/>
    <mergeCell ref="BO97:CF114"/>
    <mergeCell ref="BO115:CF132"/>
    <mergeCell ref="CC30:CF30"/>
    <mergeCell ref="CC31:CF31"/>
    <mergeCell ref="CC32:CF32"/>
    <mergeCell ref="CC33:CF33"/>
    <mergeCell ref="BX51:CF51"/>
    <mergeCell ref="BX53:CF53"/>
    <mergeCell ref="BO79:CF96"/>
    <mergeCell ref="BU53:BW53"/>
    <mergeCell ref="BU51:BW51"/>
    <mergeCell ref="BX56:CF56"/>
    <mergeCell ref="BU56:BW56"/>
    <mergeCell ref="BF30:BO30"/>
    <mergeCell ref="BP30:BR30"/>
    <mergeCell ref="BS30:CB30"/>
    <mergeCell ref="BP31:BR31"/>
    <mergeCell ref="BS31:CB31"/>
    <mergeCell ref="BU55:BW55"/>
    <mergeCell ref="BX55:CF55"/>
    <mergeCell ref="AO41:BJ46"/>
    <mergeCell ref="BK41:CF46"/>
    <mergeCell ref="AO47:CF47"/>
  </mergeCells>
  <conditionalFormatting sqref="BL52:CF57 G61 BO61 G79 G97 G115 I43:AN47">
    <cfRule type="expression" dxfId="95" priority="24">
      <formula>$AA$11=""</formula>
    </cfRule>
  </conditionalFormatting>
  <conditionalFormatting sqref="I44:AN47 BO52:CF57 G79 G97 G115">
    <cfRule type="expression" dxfId="94" priority="23">
      <formula>$CJ$5=1</formula>
    </cfRule>
  </conditionalFormatting>
  <conditionalFormatting sqref="I45:AN47 BR52:CF57 G97 G115">
    <cfRule type="expression" dxfId="93" priority="22">
      <formula>$CJ$5=2</formula>
    </cfRule>
  </conditionalFormatting>
  <conditionalFormatting sqref="I46:AN47 BU52:CF57 G115">
    <cfRule type="expression" dxfId="92" priority="21">
      <formula>$CJ$5=3</formula>
    </cfRule>
  </conditionalFormatting>
  <conditionalFormatting sqref="AA10:AA11 BL52:CF57 G61 BO61 G79 G97 G115 I43:AN47">
    <cfRule type="expression" dxfId="91" priority="20">
      <formula>$CJ$7=""</formula>
    </cfRule>
  </conditionalFormatting>
  <conditionalFormatting sqref="AA10 BG9:BV10 AA11:BV12 BL52:CF57 G61 BO61 G79 G97 G115 I43:AN47">
    <cfRule type="expression" dxfId="90" priority="19">
      <formula>$CJ$5=""</formula>
    </cfRule>
  </conditionalFormatting>
  <conditionalFormatting sqref="K31:AB32">
    <cfRule type="expression" dxfId="89" priority="17">
      <formula>$BG$9="4 AÑOS"</formula>
    </cfRule>
    <cfRule type="expression" dxfId="88" priority="18">
      <formula>$BG$9="3 AÑOS"</formula>
    </cfRule>
  </conditionalFormatting>
  <conditionalFormatting sqref="AC16:CB33">
    <cfRule type="expression" dxfId="87" priority="16">
      <formula>$AA$11=""</formula>
    </cfRule>
  </conditionalFormatting>
  <conditionalFormatting sqref="AP16:CB33">
    <cfRule type="expression" dxfId="86" priority="15">
      <formula>$CJ$5=1</formula>
    </cfRule>
  </conditionalFormatting>
  <conditionalFormatting sqref="BC16:CB33">
    <cfRule type="expression" dxfId="85" priority="14">
      <formula>$CJ$5=2</formula>
    </cfRule>
  </conditionalFormatting>
  <conditionalFormatting sqref="BP16:CB33">
    <cfRule type="expression" dxfId="84" priority="13">
      <formula>$CJ$5=3</formula>
    </cfRule>
  </conditionalFormatting>
  <conditionalFormatting sqref="AC16:CB33">
    <cfRule type="expression" dxfId="83" priority="12">
      <formula>$CJ$7=""</formula>
    </cfRule>
  </conditionalFormatting>
  <conditionalFormatting sqref="AC16:CB33">
    <cfRule type="expression" dxfId="82" priority="11">
      <formula>$CJ$5=""</formula>
    </cfRule>
  </conditionalFormatting>
  <conditionalFormatting sqref="AC31:CB32">
    <cfRule type="expression" dxfId="81" priority="9">
      <formula>$BG$9="4 AÑOS"</formula>
    </cfRule>
    <cfRule type="expression" dxfId="80" priority="10">
      <formula>$BG$9="3 AÑOS"</formula>
    </cfRule>
  </conditionalFormatting>
  <conditionalFormatting sqref="CC16:CF33">
    <cfRule type="expression" dxfId="79" priority="8">
      <formula>$AA$11=""</formula>
    </cfRule>
  </conditionalFormatting>
  <conditionalFormatting sqref="CC16:CF33">
    <cfRule type="expression" dxfId="78" priority="7">
      <formula>$CJ$5=1</formula>
    </cfRule>
  </conditionalFormatting>
  <conditionalFormatting sqref="CC16:CF33">
    <cfRule type="expression" dxfId="77" priority="6">
      <formula>$CJ$5=2</formula>
    </cfRule>
  </conditionalFormatting>
  <conditionalFormatting sqref="CC16:CF33">
    <cfRule type="expression" dxfId="76" priority="5">
      <formula>$CJ$5=3</formula>
    </cfRule>
  </conditionalFormatting>
  <conditionalFormatting sqref="CC16:CF33">
    <cfRule type="expression" dxfId="75" priority="4">
      <formula>$CJ$7=""</formula>
    </cfRule>
  </conditionalFormatting>
  <conditionalFormatting sqref="CC16:CF33">
    <cfRule type="expression" dxfId="74" priority="3">
      <formula>$CJ$5=""</formula>
    </cfRule>
  </conditionalFormatting>
  <conditionalFormatting sqref="CC31:CF32">
    <cfRule type="expression" dxfId="73" priority="1">
      <formula>$BG$9="4 AÑOS"</formula>
    </cfRule>
    <cfRule type="expression" dxfId="72" priority="2">
      <formula>$BG$9="3 AÑOS"</formula>
    </cfRule>
  </conditionalFormatting>
  <dataValidations count="1">
    <dataValidation type="whole" allowBlank="1" showErrorMessage="1" error="Solo se considera periodos entre 1 y 4" sqref="CJ5:CJ6" xr:uid="{D12B9B37-5BDE-4E8B-BF7D-2D41E63C20DD}">
      <formula1>1</formula1>
      <formula2>4</formula2>
    </dataValidation>
  </dataValidations>
  <printOptions horizontalCentered="1"/>
  <pageMargins left="0.39370078740157483" right="0.39370078740157483" top="0.74803149606299213" bottom="0.74803149606299213" header="0.31496062992125984" footer="0.31496062992125984"/>
  <pageSetup paperSize="9" scale="84" fitToHeight="3" orientation="portrait" horizontalDpi="0" verticalDpi="0" r:id="rId1"/>
  <rowBreaks count="1" manualBreakCount="1">
    <brk id="38" max="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C504D-17D8-43EA-9C16-50DDC58A2F1E}">
  <sheetPr codeName="Hoja2"/>
  <dimension ref="A2:BH36"/>
  <sheetViews>
    <sheetView topLeftCell="A23" zoomScale="40" zoomScaleNormal="40" workbookViewId="0">
      <selection activeCell="C7" sqref="C7:C27"/>
    </sheetView>
  </sheetViews>
  <sheetFormatPr baseColWidth="10" defaultRowHeight="15" x14ac:dyDescent="0.25"/>
  <cols>
    <col min="1" max="1" width="3" bestFit="1" customWidth="1"/>
    <col min="2" max="2" width="17.140625" customWidth="1"/>
    <col min="3" max="3" width="14.140625" customWidth="1"/>
    <col min="4" max="8" width="8.85546875" style="1"/>
    <col min="9" max="9" width="64.140625" style="5" customWidth="1"/>
    <col min="10" max="10" width="2.85546875" bestFit="1" customWidth="1"/>
    <col min="11" max="11" width="3.28515625" bestFit="1" customWidth="1"/>
    <col min="12" max="12" width="2.85546875" bestFit="1" customWidth="1"/>
    <col min="13" max="13" width="3.28515625" bestFit="1" customWidth="1"/>
    <col min="14" max="15" width="2.85546875" bestFit="1" customWidth="1"/>
    <col min="16" max="16" width="3.28515625" bestFit="1" customWidth="1"/>
    <col min="17" max="18" width="2.85546875" bestFit="1" customWidth="1"/>
    <col min="19" max="19" width="3.28515625" bestFit="1" customWidth="1"/>
    <col min="20" max="20" width="2.85546875" bestFit="1" customWidth="1"/>
    <col min="21" max="21" width="3.28515625" bestFit="1" customWidth="1"/>
    <col min="22" max="22" width="2.85546875" bestFit="1" customWidth="1"/>
    <col min="23" max="23" width="3.28515625" bestFit="1" customWidth="1"/>
    <col min="24" max="24" width="2.85546875" bestFit="1" customWidth="1"/>
    <col min="25" max="25" width="3.28515625" bestFit="1" customWidth="1"/>
    <col min="26" max="27" width="2.85546875" bestFit="1" customWidth="1"/>
    <col min="28" max="28" width="3.28515625" bestFit="1" customWidth="1"/>
    <col min="29" max="29" width="2.85546875" bestFit="1" customWidth="1"/>
    <col min="30" max="30" width="3.28515625" bestFit="1" customWidth="1"/>
    <col min="31" max="32" width="2.85546875" bestFit="1" customWidth="1"/>
    <col min="33" max="33" width="3.28515625" bestFit="1" customWidth="1"/>
    <col min="34" max="35" width="2.85546875" bestFit="1" customWidth="1"/>
    <col min="36" max="36" width="3.28515625" bestFit="1" customWidth="1"/>
    <col min="37" max="37" width="2.85546875" bestFit="1" customWidth="1"/>
    <col min="38" max="38" width="3.28515625" bestFit="1" customWidth="1"/>
    <col min="39" max="39" width="2.85546875" bestFit="1" customWidth="1"/>
    <col min="40" max="40" width="3.28515625" bestFit="1" customWidth="1"/>
    <col min="41" max="41" width="2.85546875" bestFit="1" customWidth="1"/>
  </cols>
  <sheetData>
    <row r="2" spans="1:60" x14ac:dyDescent="0.25">
      <c r="B2" s="110" t="s">
        <v>90</v>
      </c>
      <c r="C2" s="111"/>
      <c r="D2" s="110" t="s">
        <v>119</v>
      </c>
      <c r="E2" s="112"/>
      <c r="F2" s="112"/>
      <c r="G2" s="112"/>
      <c r="H2" s="111"/>
    </row>
    <row r="3" spans="1:60" x14ac:dyDescent="0.25">
      <c r="B3" s="110" t="s">
        <v>96</v>
      </c>
      <c r="C3" s="111"/>
      <c r="D3" s="110" t="s">
        <v>118</v>
      </c>
      <c r="E3" s="112"/>
      <c r="F3" s="112"/>
      <c r="G3" s="112"/>
      <c r="H3" s="111"/>
    </row>
    <row r="4" spans="1:60" x14ac:dyDescent="0.25">
      <c r="D4"/>
      <c r="E4"/>
      <c r="F4"/>
      <c r="G4"/>
      <c r="H4"/>
      <c r="I4"/>
    </row>
    <row r="5" spans="1:60" ht="30" customHeight="1" x14ac:dyDescent="0.25">
      <c r="A5" s="100" t="s">
        <v>46</v>
      </c>
      <c r="B5" s="100" t="s">
        <v>79</v>
      </c>
      <c r="C5" s="100" t="s">
        <v>80</v>
      </c>
      <c r="D5" s="113" t="s">
        <v>89</v>
      </c>
      <c r="E5" s="114"/>
      <c r="F5" s="114"/>
      <c r="G5" s="114"/>
      <c r="H5" s="115"/>
      <c r="I5" s="116" t="s">
        <v>86</v>
      </c>
      <c r="J5" s="107" t="s">
        <v>21</v>
      </c>
      <c r="K5" s="108"/>
      <c r="L5" s="108"/>
      <c r="M5" s="108"/>
      <c r="N5" s="109"/>
      <c r="O5" s="107" t="s">
        <v>91</v>
      </c>
      <c r="P5" s="108"/>
      <c r="Q5" s="109"/>
      <c r="R5" s="107" t="s">
        <v>71</v>
      </c>
      <c r="S5" s="108"/>
      <c r="T5" s="108"/>
      <c r="U5" s="108"/>
      <c r="V5" s="108"/>
      <c r="W5" s="108"/>
      <c r="X5" s="108"/>
      <c r="Y5" s="108"/>
      <c r="Z5" s="109"/>
      <c r="AA5" s="107" t="s">
        <v>26</v>
      </c>
      <c r="AB5" s="108"/>
      <c r="AC5" s="108"/>
      <c r="AD5" s="108"/>
      <c r="AE5" s="109"/>
      <c r="AF5" s="107" t="s">
        <v>28</v>
      </c>
      <c r="AG5" s="108"/>
      <c r="AH5" s="109"/>
      <c r="AI5" s="104" t="s">
        <v>29</v>
      </c>
      <c r="AJ5" s="105"/>
      <c r="AK5" s="105"/>
      <c r="AL5" s="106"/>
      <c r="AM5" s="107" t="s">
        <v>72</v>
      </c>
      <c r="AN5" s="108"/>
      <c r="AO5" s="109"/>
      <c r="AP5" s="102" t="s">
        <v>81</v>
      </c>
      <c r="AQ5" s="102" t="s">
        <v>82</v>
      </c>
      <c r="AR5" s="102" t="s">
        <v>83</v>
      </c>
      <c r="AS5" s="102" t="s">
        <v>84</v>
      </c>
      <c r="AT5" s="102" t="s">
        <v>85</v>
      </c>
    </row>
    <row r="6" spans="1:60" ht="24" x14ac:dyDescent="0.25">
      <c r="A6" s="101"/>
      <c r="B6" s="101"/>
      <c r="C6" s="101"/>
      <c r="D6" s="26" t="s">
        <v>39</v>
      </c>
      <c r="E6" s="26" t="s">
        <v>41</v>
      </c>
      <c r="F6" s="26" t="s">
        <v>42</v>
      </c>
      <c r="G6" s="26" t="s">
        <v>44</v>
      </c>
      <c r="H6" s="26" t="s">
        <v>88</v>
      </c>
      <c r="I6" s="117"/>
      <c r="J6" s="8" t="s">
        <v>73</v>
      </c>
      <c r="K6" s="9" t="s">
        <v>78</v>
      </c>
      <c r="L6" s="10" t="s">
        <v>74</v>
      </c>
      <c r="M6" s="9" t="s">
        <v>78</v>
      </c>
      <c r="N6" s="11" t="s">
        <v>77</v>
      </c>
      <c r="O6" s="10" t="s">
        <v>73</v>
      </c>
      <c r="P6" s="9" t="s">
        <v>78</v>
      </c>
      <c r="Q6" s="11" t="s">
        <v>77</v>
      </c>
      <c r="R6" s="10" t="s">
        <v>73</v>
      </c>
      <c r="S6" s="9" t="s">
        <v>78</v>
      </c>
      <c r="T6" s="10" t="s">
        <v>74</v>
      </c>
      <c r="U6" s="9" t="s">
        <v>78</v>
      </c>
      <c r="V6" s="10" t="s">
        <v>75</v>
      </c>
      <c r="W6" s="9" t="s">
        <v>78</v>
      </c>
      <c r="X6" s="8" t="s">
        <v>76</v>
      </c>
      <c r="Y6" s="9" t="s">
        <v>78</v>
      </c>
      <c r="Z6" s="11" t="s">
        <v>77</v>
      </c>
      <c r="AA6" s="10" t="s">
        <v>73</v>
      </c>
      <c r="AB6" s="9" t="s">
        <v>78</v>
      </c>
      <c r="AC6" s="10" t="s">
        <v>74</v>
      </c>
      <c r="AD6" s="9" t="s">
        <v>78</v>
      </c>
      <c r="AE6" s="11" t="s">
        <v>77</v>
      </c>
      <c r="AF6" s="8" t="s">
        <v>73</v>
      </c>
      <c r="AG6" s="9" t="s">
        <v>78</v>
      </c>
      <c r="AH6" s="11" t="s">
        <v>77</v>
      </c>
      <c r="AI6" s="10" t="s">
        <v>73</v>
      </c>
      <c r="AJ6" s="9" t="s">
        <v>78</v>
      </c>
      <c r="AK6" s="10" t="s">
        <v>74</v>
      </c>
      <c r="AL6" s="9" t="s">
        <v>78</v>
      </c>
      <c r="AM6" s="10" t="s">
        <v>73</v>
      </c>
      <c r="AN6" s="9" t="s">
        <v>78</v>
      </c>
      <c r="AO6" s="11" t="s">
        <v>77</v>
      </c>
      <c r="AP6" s="103"/>
      <c r="AQ6" s="103"/>
      <c r="AR6" s="103"/>
      <c r="AS6" s="103"/>
      <c r="AT6" s="103"/>
    </row>
    <row r="7" spans="1:60" ht="90" x14ac:dyDescent="0.25">
      <c r="A7" s="2">
        <v>1</v>
      </c>
      <c r="B7" s="30" t="s">
        <v>97</v>
      </c>
      <c r="C7" s="2">
        <v>90373031</v>
      </c>
      <c r="D7" s="2" t="s">
        <v>52</v>
      </c>
      <c r="E7" s="2" t="s">
        <v>52</v>
      </c>
      <c r="F7" s="2" t="s">
        <v>9</v>
      </c>
      <c r="G7" s="2" t="s">
        <v>52</v>
      </c>
      <c r="H7" s="2" t="s">
        <v>9</v>
      </c>
      <c r="I7" s="3" t="s">
        <v>120</v>
      </c>
      <c r="J7" s="13" t="s">
        <v>9</v>
      </c>
      <c r="K7" s="12"/>
      <c r="L7" s="13" t="s">
        <v>52</v>
      </c>
      <c r="M7" s="12"/>
      <c r="N7" s="16" t="s">
        <v>52</v>
      </c>
      <c r="O7" s="13" t="s">
        <v>52</v>
      </c>
      <c r="P7" s="12"/>
      <c r="Q7" s="16" t="s">
        <v>52</v>
      </c>
      <c r="R7" s="13" t="s">
        <v>9</v>
      </c>
      <c r="S7" s="12"/>
      <c r="T7" s="13" t="s">
        <v>52</v>
      </c>
      <c r="U7" s="12"/>
      <c r="V7" s="13" t="s">
        <v>52</v>
      </c>
      <c r="W7" s="12"/>
      <c r="X7" s="13" t="s">
        <v>52</v>
      </c>
      <c r="Y7" s="12"/>
      <c r="Z7" s="16" t="s">
        <v>52</v>
      </c>
      <c r="AA7" s="13" t="s">
        <v>52</v>
      </c>
      <c r="AB7" s="12"/>
      <c r="AC7" s="13" t="s">
        <v>52</v>
      </c>
      <c r="AD7" s="12"/>
      <c r="AE7" s="16" t="s">
        <v>52</v>
      </c>
      <c r="AF7" s="13" t="s">
        <v>52</v>
      </c>
      <c r="AG7" s="12"/>
      <c r="AH7" s="16" t="s">
        <v>52</v>
      </c>
      <c r="AI7" s="13"/>
      <c r="AJ7" s="12"/>
      <c r="AK7" s="13"/>
      <c r="AL7" s="12"/>
      <c r="AM7" s="13"/>
      <c r="AN7" s="12"/>
      <c r="AO7" s="16"/>
      <c r="AP7" s="17">
        <v>17</v>
      </c>
      <c r="AQ7" s="17">
        <v>0</v>
      </c>
      <c r="AR7" s="17">
        <v>0</v>
      </c>
      <c r="AS7" s="17">
        <v>0</v>
      </c>
      <c r="AT7" s="17">
        <v>6</v>
      </c>
      <c r="BH7">
        <v>1</v>
      </c>
    </row>
    <row r="8" spans="1:60" ht="150" x14ac:dyDescent="0.25">
      <c r="A8" s="2">
        <v>2</v>
      </c>
      <c r="B8" s="30" t="s">
        <v>98</v>
      </c>
      <c r="C8" s="2">
        <v>90479090</v>
      </c>
      <c r="D8" s="2" t="s">
        <v>52</v>
      </c>
      <c r="E8" s="2" t="s">
        <v>9</v>
      </c>
      <c r="F8" s="2" t="s">
        <v>9</v>
      </c>
      <c r="G8" s="2" t="s">
        <v>9</v>
      </c>
      <c r="H8" s="2" t="s">
        <v>9</v>
      </c>
      <c r="I8" s="3" t="s">
        <v>121</v>
      </c>
      <c r="J8" s="13" t="s">
        <v>9</v>
      </c>
      <c r="K8" s="14"/>
      <c r="L8" s="13" t="s">
        <v>9</v>
      </c>
      <c r="M8" s="14"/>
      <c r="N8" s="16" t="s">
        <v>9</v>
      </c>
      <c r="O8" s="13" t="s">
        <v>52</v>
      </c>
      <c r="P8" s="13"/>
      <c r="Q8" s="16" t="s">
        <v>52</v>
      </c>
      <c r="R8" s="13" t="s">
        <v>9</v>
      </c>
      <c r="S8" s="14"/>
      <c r="T8" s="13" t="s">
        <v>52</v>
      </c>
      <c r="U8" s="14"/>
      <c r="V8" s="13" t="s">
        <v>52</v>
      </c>
      <c r="W8" s="14"/>
      <c r="X8" s="13" t="s">
        <v>52</v>
      </c>
      <c r="Y8" s="14"/>
      <c r="Z8" s="16" t="s">
        <v>52</v>
      </c>
      <c r="AA8" s="13" t="s">
        <v>9</v>
      </c>
      <c r="AB8" s="14"/>
      <c r="AC8" s="13" t="s">
        <v>52</v>
      </c>
      <c r="AD8" s="15"/>
      <c r="AE8" s="16" t="s">
        <v>52</v>
      </c>
      <c r="AF8" s="13" t="s">
        <v>9</v>
      </c>
      <c r="AG8" s="14"/>
      <c r="AH8" s="16" t="s">
        <v>9</v>
      </c>
      <c r="AI8" s="13"/>
      <c r="AJ8" s="13"/>
      <c r="AK8" s="13"/>
      <c r="AL8" s="13"/>
      <c r="AM8" s="13"/>
      <c r="AN8" s="13"/>
      <c r="AO8" s="16"/>
      <c r="AP8" s="17">
        <v>22</v>
      </c>
      <c r="AQ8" s="17">
        <v>0</v>
      </c>
      <c r="AR8" s="17">
        <v>0</v>
      </c>
      <c r="AS8" s="17">
        <v>0</v>
      </c>
      <c r="AT8" s="17">
        <v>1</v>
      </c>
    </row>
    <row r="9" spans="1:60" ht="135" x14ac:dyDescent="0.25">
      <c r="A9" s="2">
        <v>3</v>
      </c>
      <c r="B9" s="30" t="s">
        <v>99</v>
      </c>
      <c r="C9" s="2">
        <v>90553781</v>
      </c>
      <c r="D9" s="2" t="s">
        <v>52</v>
      </c>
      <c r="E9" s="2" t="s">
        <v>52</v>
      </c>
      <c r="F9" s="2" t="s">
        <v>9</v>
      </c>
      <c r="G9" s="2" t="s">
        <v>9</v>
      </c>
      <c r="H9" s="2" t="s">
        <v>9</v>
      </c>
      <c r="I9" s="3" t="s">
        <v>122</v>
      </c>
      <c r="J9" s="13" t="s">
        <v>9</v>
      </c>
      <c r="K9" s="14"/>
      <c r="L9" s="13" t="s">
        <v>9</v>
      </c>
      <c r="M9" s="14"/>
      <c r="N9" s="16" t="s">
        <v>9</v>
      </c>
      <c r="O9" s="13" t="s">
        <v>9</v>
      </c>
      <c r="P9" s="13"/>
      <c r="Q9" s="16" t="s">
        <v>9</v>
      </c>
      <c r="R9" s="13" t="s">
        <v>9</v>
      </c>
      <c r="S9" s="14"/>
      <c r="T9" s="13" t="s">
        <v>9</v>
      </c>
      <c r="U9" s="14"/>
      <c r="V9" s="13" t="s">
        <v>52</v>
      </c>
      <c r="W9" s="14"/>
      <c r="X9" s="13" t="s">
        <v>52</v>
      </c>
      <c r="Y9" s="14"/>
      <c r="Z9" s="16" t="s">
        <v>9</v>
      </c>
      <c r="AA9" s="13" t="s">
        <v>9</v>
      </c>
      <c r="AB9" s="14"/>
      <c r="AC9" s="13" t="s">
        <v>52</v>
      </c>
      <c r="AD9" s="15"/>
      <c r="AE9" s="16" t="s">
        <v>52</v>
      </c>
      <c r="AF9" s="13" t="s">
        <v>9</v>
      </c>
      <c r="AG9" s="14"/>
      <c r="AH9" s="16" t="s">
        <v>9</v>
      </c>
      <c r="AI9" s="13"/>
      <c r="AJ9" s="13"/>
      <c r="AK9" s="13"/>
      <c r="AL9" s="13"/>
      <c r="AM9" s="13"/>
      <c r="AN9" s="13"/>
      <c r="AO9" s="16"/>
      <c r="AP9" s="17">
        <v>23</v>
      </c>
      <c r="AQ9" s="17">
        <v>0</v>
      </c>
      <c r="AR9" s="17">
        <v>0</v>
      </c>
      <c r="AS9" s="17">
        <v>0</v>
      </c>
      <c r="AT9" s="17">
        <v>0</v>
      </c>
    </row>
    <row r="10" spans="1:60" ht="135" x14ac:dyDescent="0.25">
      <c r="A10" s="2">
        <v>4</v>
      </c>
      <c r="B10" s="30" t="s">
        <v>100</v>
      </c>
      <c r="C10" s="2">
        <v>90549776</v>
      </c>
      <c r="D10" s="2" t="s">
        <v>9</v>
      </c>
      <c r="E10" s="2" t="s">
        <v>9</v>
      </c>
      <c r="F10" s="2" t="s">
        <v>9</v>
      </c>
      <c r="G10" s="2" t="s">
        <v>9</v>
      </c>
      <c r="H10" s="2" t="s">
        <v>9</v>
      </c>
      <c r="I10" s="3" t="s">
        <v>123</v>
      </c>
      <c r="J10" s="13" t="s">
        <v>9</v>
      </c>
      <c r="K10" s="14"/>
      <c r="L10" s="13" t="s">
        <v>52</v>
      </c>
      <c r="M10" s="14"/>
      <c r="N10" s="16" t="s">
        <v>52</v>
      </c>
      <c r="O10" s="13" t="s">
        <v>52</v>
      </c>
      <c r="P10" s="13"/>
      <c r="Q10" s="16" t="s">
        <v>52</v>
      </c>
      <c r="R10" s="13" t="s">
        <v>9</v>
      </c>
      <c r="S10" s="14"/>
      <c r="T10" s="13" t="s">
        <v>52</v>
      </c>
      <c r="U10" s="14"/>
      <c r="V10" s="13" t="s">
        <v>52</v>
      </c>
      <c r="W10" s="14"/>
      <c r="X10" s="13" t="s">
        <v>52</v>
      </c>
      <c r="Y10" s="14"/>
      <c r="Z10" s="16" t="s">
        <v>52</v>
      </c>
      <c r="AA10" s="13" t="s">
        <v>52</v>
      </c>
      <c r="AB10" s="14"/>
      <c r="AC10" s="13" t="s">
        <v>9</v>
      </c>
      <c r="AD10" s="15"/>
      <c r="AE10" s="16" t="s">
        <v>52</v>
      </c>
      <c r="AF10" s="13" t="s">
        <v>52</v>
      </c>
      <c r="AG10" s="14"/>
      <c r="AH10" s="16" t="s">
        <v>52</v>
      </c>
      <c r="AI10" s="13"/>
      <c r="AJ10" s="13"/>
      <c r="AK10" s="13"/>
      <c r="AL10" s="13"/>
      <c r="AM10" s="13"/>
      <c r="AN10" s="13"/>
      <c r="AO10" s="16"/>
      <c r="AP10" s="17">
        <v>23</v>
      </c>
      <c r="AQ10" s="17">
        <v>0</v>
      </c>
      <c r="AR10" s="17">
        <v>0</v>
      </c>
      <c r="AS10" s="17">
        <v>0</v>
      </c>
      <c r="AT10" s="17">
        <v>0</v>
      </c>
    </row>
    <row r="11" spans="1:60" ht="135" x14ac:dyDescent="0.25">
      <c r="A11" s="2">
        <v>5</v>
      </c>
      <c r="B11" s="30" t="s">
        <v>101</v>
      </c>
      <c r="C11" s="2">
        <v>90549529</v>
      </c>
      <c r="D11" s="2" t="s">
        <v>52</v>
      </c>
      <c r="E11" s="2" t="s">
        <v>52</v>
      </c>
      <c r="F11" s="2" t="s">
        <v>9</v>
      </c>
      <c r="G11" s="2" t="s">
        <v>9</v>
      </c>
      <c r="H11" s="2" t="s">
        <v>9</v>
      </c>
      <c r="I11" s="4" t="s">
        <v>124</v>
      </c>
      <c r="J11" s="13" t="s">
        <v>9</v>
      </c>
      <c r="K11" s="14"/>
      <c r="L11" s="13" t="s">
        <v>52</v>
      </c>
      <c r="M11" s="14"/>
      <c r="N11" s="16" t="s">
        <v>52</v>
      </c>
      <c r="O11" s="13" t="s">
        <v>52</v>
      </c>
      <c r="P11" s="13"/>
      <c r="Q11" s="16" t="s">
        <v>52</v>
      </c>
      <c r="R11" s="13" t="s">
        <v>9</v>
      </c>
      <c r="S11" s="14"/>
      <c r="T11" s="13" t="s">
        <v>9</v>
      </c>
      <c r="U11" s="14"/>
      <c r="V11" s="13" t="s">
        <v>52</v>
      </c>
      <c r="W11" s="14"/>
      <c r="X11" s="13" t="s">
        <v>52</v>
      </c>
      <c r="Y11" s="14"/>
      <c r="Z11" s="16" t="s">
        <v>52</v>
      </c>
      <c r="AA11" s="13" t="s">
        <v>52</v>
      </c>
      <c r="AB11" s="14"/>
      <c r="AC11" s="13" t="s">
        <v>9</v>
      </c>
      <c r="AD11" s="15"/>
      <c r="AE11" s="16" t="s">
        <v>52</v>
      </c>
      <c r="AF11" s="13" t="s">
        <v>52</v>
      </c>
      <c r="AG11" s="14"/>
      <c r="AH11" s="16" t="s">
        <v>52</v>
      </c>
      <c r="AI11" s="13"/>
      <c r="AJ11" s="13"/>
      <c r="AK11" s="13"/>
      <c r="AL11" s="13"/>
      <c r="AM11" s="13"/>
      <c r="AN11" s="13"/>
      <c r="AO11" s="16"/>
      <c r="AP11" s="17">
        <v>18</v>
      </c>
      <c r="AQ11" s="17">
        <v>0</v>
      </c>
      <c r="AR11" s="17">
        <v>0</v>
      </c>
      <c r="AS11" s="17">
        <v>2</v>
      </c>
      <c r="AT11" s="17">
        <v>3</v>
      </c>
    </row>
    <row r="12" spans="1:60" ht="150" x14ac:dyDescent="0.25">
      <c r="A12" s="2">
        <v>6</v>
      </c>
      <c r="B12" s="30" t="s">
        <v>102</v>
      </c>
      <c r="C12" s="2">
        <v>90544159</v>
      </c>
      <c r="D12" s="2" t="s">
        <v>9</v>
      </c>
      <c r="E12" s="2" t="s">
        <v>9</v>
      </c>
      <c r="F12" s="2" t="s">
        <v>52</v>
      </c>
      <c r="G12" s="2" t="s">
        <v>9</v>
      </c>
      <c r="H12" s="2" t="s">
        <v>9</v>
      </c>
      <c r="I12" s="3" t="s">
        <v>125</v>
      </c>
      <c r="J12" s="13" t="s">
        <v>52</v>
      </c>
      <c r="K12" s="14"/>
      <c r="L12" s="13" t="s">
        <v>52</v>
      </c>
      <c r="M12" s="14"/>
      <c r="N12" s="16" t="s">
        <v>52</v>
      </c>
      <c r="O12" s="13" t="s">
        <v>52</v>
      </c>
      <c r="P12" s="13"/>
      <c r="Q12" s="16" t="s">
        <v>52</v>
      </c>
      <c r="R12" s="13" t="s">
        <v>52</v>
      </c>
      <c r="S12" s="14"/>
      <c r="T12" s="13" t="s">
        <v>52</v>
      </c>
      <c r="U12" s="14"/>
      <c r="V12" s="13" t="s">
        <v>52</v>
      </c>
      <c r="W12" s="14"/>
      <c r="X12" s="13" t="s">
        <v>52</v>
      </c>
      <c r="Y12" s="14"/>
      <c r="Z12" s="16" t="s">
        <v>52</v>
      </c>
      <c r="AA12" s="13" t="s">
        <v>52</v>
      </c>
      <c r="AB12" s="14"/>
      <c r="AC12" s="13" t="s">
        <v>9</v>
      </c>
      <c r="AD12" s="15"/>
      <c r="AE12" s="16" t="s">
        <v>52</v>
      </c>
      <c r="AF12" s="13" t="s">
        <v>52</v>
      </c>
      <c r="AG12" s="14"/>
      <c r="AH12" s="16" t="s">
        <v>52</v>
      </c>
      <c r="AI12" s="13"/>
      <c r="AJ12" s="13"/>
      <c r="AK12" s="13"/>
      <c r="AL12" s="13"/>
      <c r="AM12" s="13"/>
      <c r="AN12" s="13"/>
      <c r="AO12" s="16"/>
      <c r="AP12" s="17">
        <v>16</v>
      </c>
      <c r="AQ12" s="17">
        <v>0</v>
      </c>
      <c r="AR12" s="17">
        <v>0</v>
      </c>
      <c r="AS12" s="17">
        <v>0</v>
      </c>
      <c r="AT12" s="17">
        <v>7</v>
      </c>
    </row>
    <row r="13" spans="1:60" ht="150" x14ac:dyDescent="0.25">
      <c r="A13" s="2">
        <v>7</v>
      </c>
      <c r="B13" s="30" t="s">
        <v>103</v>
      </c>
      <c r="C13" s="2">
        <v>90733280</v>
      </c>
      <c r="D13" s="2" t="s">
        <v>52</v>
      </c>
      <c r="E13" s="2" t="s">
        <v>52</v>
      </c>
      <c r="F13" s="2" t="s">
        <v>52</v>
      </c>
      <c r="G13" s="2" t="s">
        <v>9</v>
      </c>
      <c r="H13" s="2" t="s">
        <v>9</v>
      </c>
      <c r="I13" s="3" t="s">
        <v>126</v>
      </c>
      <c r="J13" s="13" t="s">
        <v>52</v>
      </c>
      <c r="K13" s="14"/>
      <c r="L13" s="13" t="s">
        <v>52</v>
      </c>
      <c r="M13" s="14"/>
      <c r="N13" s="16" t="s">
        <v>52</v>
      </c>
      <c r="O13" s="13" t="s">
        <v>52</v>
      </c>
      <c r="P13" s="13"/>
      <c r="Q13" s="16" t="s">
        <v>52</v>
      </c>
      <c r="R13" s="13" t="s">
        <v>52</v>
      </c>
      <c r="S13" s="14"/>
      <c r="T13" s="13" t="s">
        <v>52</v>
      </c>
      <c r="U13" s="14"/>
      <c r="V13" s="13" t="s">
        <v>52</v>
      </c>
      <c r="W13" s="14"/>
      <c r="X13" s="13" t="s">
        <v>52</v>
      </c>
      <c r="Y13" s="14"/>
      <c r="Z13" s="16" t="s">
        <v>52</v>
      </c>
      <c r="AA13" s="13" t="s">
        <v>9</v>
      </c>
      <c r="AB13" s="14"/>
      <c r="AC13" s="13" t="s">
        <v>52</v>
      </c>
      <c r="AD13" s="15"/>
      <c r="AE13" s="16" t="s">
        <v>52</v>
      </c>
      <c r="AF13" s="13" t="s">
        <v>52</v>
      </c>
      <c r="AG13" s="14"/>
      <c r="AH13" s="16" t="s">
        <v>52</v>
      </c>
      <c r="AI13" s="13"/>
      <c r="AJ13" s="13"/>
      <c r="AK13" s="13"/>
      <c r="AL13" s="13"/>
      <c r="AM13" s="13"/>
      <c r="AN13" s="13"/>
      <c r="AO13" s="16"/>
      <c r="AP13" s="17">
        <v>21</v>
      </c>
      <c r="AQ13" s="17">
        <v>0</v>
      </c>
      <c r="AR13" s="17">
        <v>0</v>
      </c>
      <c r="AS13" s="17">
        <v>0</v>
      </c>
      <c r="AT13" s="17">
        <v>2</v>
      </c>
    </row>
    <row r="14" spans="1:60" ht="150" x14ac:dyDescent="0.25">
      <c r="A14" s="2">
        <v>8</v>
      </c>
      <c r="B14" s="30" t="s">
        <v>104</v>
      </c>
      <c r="C14" s="2">
        <v>90711756</v>
      </c>
      <c r="D14" s="2" t="s">
        <v>52</v>
      </c>
      <c r="E14" s="2" t="s">
        <v>52</v>
      </c>
      <c r="F14" s="2" t="s">
        <v>9</v>
      </c>
      <c r="G14" s="2" t="s">
        <v>39</v>
      </c>
      <c r="H14" s="2" t="s">
        <v>9</v>
      </c>
      <c r="I14" s="3" t="s">
        <v>127</v>
      </c>
      <c r="J14" s="13" t="s">
        <v>9</v>
      </c>
      <c r="K14" s="14"/>
      <c r="L14" s="13" t="s">
        <v>52</v>
      </c>
      <c r="M14" s="14"/>
      <c r="N14" s="16" t="s">
        <v>52</v>
      </c>
      <c r="O14" s="13" t="s">
        <v>52</v>
      </c>
      <c r="P14" s="13"/>
      <c r="Q14" s="16" t="s">
        <v>52</v>
      </c>
      <c r="R14" s="13" t="s">
        <v>52</v>
      </c>
      <c r="S14" s="14"/>
      <c r="T14" s="13" t="s">
        <v>52</v>
      </c>
      <c r="U14" s="14"/>
      <c r="V14" s="13" t="s">
        <v>52</v>
      </c>
      <c r="W14" s="14"/>
      <c r="X14" s="13" t="s">
        <v>52</v>
      </c>
      <c r="Y14" s="14"/>
      <c r="Z14" s="16" t="s">
        <v>52</v>
      </c>
      <c r="AA14" s="13" t="s">
        <v>52</v>
      </c>
      <c r="AB14" s="14"/>
      <c r="AC14" s="13" t="s">
        <v>52</v>
      </c>
      <c r="AD14" s="15"/>
      <c r="AE14" s="16" t="s">
        <v>52</v>
      </c>
      <c r="AF14" s="13" t="s">
        <v>52</v>
      </c>
      <c r="AG14" s="14"/>
      <c r="AH14" s="16" t="s">
        <v>52</v>
      </c>
      <c r="AI14" s="13"/>
      <c r="AJ14" s="13"/>
      <c r="AK14" s="13"/>
      <c r="AL14" s="13"/>
      <c r="AM14" s="13"/>
      <c r="AN14" s="13"/>
      <c r="AO14" s="16"/>
      <c r="AP14" s="17">
        <v>16</v>
      </c>
      <c r="AQ14" s="17">
        <v>0</v>
      </c>
      <c r="AR14" s="17">
        <v>0</v>
      </c>
      <c r="AS14" s="17">
        <v>2</v>
      </c>
      <c r="AT14" s="17">
        <v>5</v>
      </c>
    </row>
    <row r="15" spans="1:60" ht="120" x14ac:dyDescent="0.25">
      <c r="A15" s="2">
        <v>9</v>
      </c>
      <c r="B15" s="30" t="s">
        <v>105</v>
      </c>
      <c r="C15" s="2">
        <v>90622324</v>
      </c>
      <c r="D15" s="2" t="s">
        <v>9</v>
      </c>
      <c r="E15" s="2" t="s">
        <v>9</v>
      </c>
      <c r="F15" s="2" t="s">
        <v>9</v>
      </c>
      <c r="G15" s="2" t="s">
        <v>9</v>
      </c>
      <c r="H15" s="2" t="s">
        <v>9</v>
      </c>
      <c r="I15" s="3" t="s">
        <v>128</v>
      </c>
      <c r="J15" s="13" t="s">
        <v>9</v>
      </c>
      <c r="K15" s="14"/>
      <c r="L15" s="13" t="s">
        <v>9</v>
      </c>
      <c r="M15" s="14"/>
      <c r="N15" s="16" t="s">
        <v>9</v>
      </c>
      <c r="O15" s="13" t="s">
        <v>9</v>
      </c>
      <c r="P15" s="13"/>
      <c r="Q15" s="16" t="s">
        <v>9</v>
      </c>
      <c r="R15" s="13" t="s">
        <v>9</v>
      </c>
      <c r="S15" s="14"/>
      <c r="T15" s="13" t="s">
        <v>9</v>
      </c>
      <c r="U15" s="14"/>
      <c r="V15" s="13" t="s">
        <v>52</v>
      </c>
      <c r="W15" s="14"/>
      <c r="X15" s="13" t="s">
        <v>52</v>
      </c>
      <c r="Y15" s="14"/>
      <c r="Z15" s="16" t="s">
        <v>9</v>
      </c>
      <c r="AA15" s="13" t="s">
        <v>9</v>
      </c>
      <c r="AB15" s="14"/>
      <c r="AC15" s="13" t="s">
        <v>52</v>
      </c>
      <c r="AD15" s="15"/>
      <c r="AE15" s="16" t="s">
        <v>52</v>
      </c>
      <c r="AF15" s="13" t="s">
        <v>9</v>
      </c>
      <c r="AG15" s="14"/>
      <c r="AH15" s="16" t="s">
        <v>9</v>
      </c>
      <c r="AI15" s="13"/>
      <c r="AJ15" s="13"/>
      <c r="AK15" s="13"/>
      <c r="AL15" s="13"/>
      <c r="AM15" s="13"/>
      <c r="AN15" s="13"/>
      <c r="AO15" s="16"/>
      <c r="AP15" s="17">
        <v>23</v>
      </c>
      <c r="AQ15" s="17">
        <v>0</v>
      </c>
      <c r="AR15" s="17">
        <v>0</v>
      </c>
      <c r="AS15" s="17">
        <v>0</v>
      </c>
      <c r="AT15" s="17">
        <v>0</v>
      </c>
    </row>
    <row r="16" spans="1:60" ht="135" x14ac:dyDescent="0.25">
      <c r="A16" s="2">
        <v>10</v>
      </c>
      <c r="B16" s="30" t="s">
        <v>106</v>
      </c>
      <c r="C16" s="2">
        <v>90638291</v>
      </c>
      <c r="D16" s="2" t="s">
        <v>9</v>
      </c>
      <c r="E16" s="2" t="s">
        <v>9</v>
      </c>
      <c r="F16" s="2" t="s">
        <v>9</v>
      </c>
      <c r="G16" s="2" t="s">
        <v>9</v>
      </c>
      <c r="H16" s="2" t="s">
        <v>9</v>
      </c>
      <c r="I16" s="3" t="s">
        <v>129</v>
      </c>
      <c r="J16" s="13" t="s">
        <v>9</v>
      </c>
      <c r="K16" s="14"/>
      <c r="L16" s="13" t="s">
        <v>9</v>
      </c>
      <c r="M16" s="14"/>
      <c r="N16" s="16" t="s">
        <v>9</v>
      </c>
      <c r="O16" s="13" t="s">
        <v>9</v>
      </c>
      <c r="P16" s="13"/>
      <c r="Q16" s="16" t="s">
        <v>9</v>
      </c>
      <c r="R16" s="13" t="s">
        <v>9</v>
      </c>
      <c r="S16" s="14"/>
      <c r="T16" s="13" t="s">
        <v>9</v>
      </c>
      <c r="U16" s="14"/>
      <c r="V16" s="13" t="s">
        <v>52</v>
      </c>
      <c r="W16" s="14"/>
      <c r="X16" s="13" t="s">
        <v>52</v>
      </c>
      <c r="Y16" s="14"/>
      <c r="Z16" s="16" t="s">
        <v>9</v>
      </c>
      <c r="AA16" s="13" t="s">
        <v>9</v>
      </c>
      <c r="AB16" s="14"/>
      <c r="AC16" s="13" t="s">
        <v>52</v>
      </c>
      <c r="AD16" s="15"/>
      <c r="AE16" s="16" t="s">
        <v>52</v>
      </c>
      <c r="AF16" s="13" t="s">
        <v>9</v>
      </c>
      <c r="AG16" s="14"/>
      <c r="AH16" s="16" t="s">
        <v>9</v>
      </c>
      <c r="AI16" s="13"/>
      <c r="AJ16" s="13"/>
      <c r="AK16" s="13"/>
      <c r="AL16" s="13"/>
      <c r="AM16" s="13"/>
      <c r="AN16" s="13"/>
      <c r="AO16" s="16"/>
      <c r="AP16" s="17">
        <v>23</v>
      </c>
      <c r="AQ16" s="17">
        <v>0</v>
      </c>
      <c r="AR16" s="17">
        <v>0</v>
      </c>
      <c r="AS16" s="17">
        <v>0</v>
      </c>
      <c r="AT16" s="17">
        <v>0</v>
      </c>
    </row>
    <row r="17" spans="1:46" ht="150" x14ac:dyDescent="0.25">
      <c r="A17" s="2">
        <v>11</v>
      </c>
      <c r="B17" s="30" t="s">
        <v>107</v>
      </c>
      <c r="C17" s="2">
        <v>90948003</v>
      </c>
      <c r="D17" s="2" t="s">
        <v>52</v>
      </c>
      <c r="E17" s="2" t="s">
        <v>52</v>
      </c>
      <c r="F17" s="2" t="s">
        <v>52</v>
      </c>
      <c r="G17" s="2" t="s">
        <v>9</v>
      </c>
      <c r="H17" s="2" t="s">
        <v>9</v>
      </c>
      <c r="I17" s="3" t="s">
        <v>130</v>
      </c>
      <c r="J17" s="13" t="s">
        <v>52</v>
      </c>
      <c r="K17" s="14"/>
      <c r="L17" s="13" t="s">
        <v>52</v>
      </c>
      <c r="M17" s="14"/>
      <c r="N17" s="16" t="s">
        <v>52</v>
      </c>
      <c r="O17" s="13" t="s">
        <v>52</v>
      </c>
      <c r="P17" s="13"/>
      <c r="Q17" s="16" t="s">
        <v>52</v>
      </c>
      <c r="R17" s="13" t="s">
        <v>52</v>
      </c>
      <c r="S17" s="14"/>
      <c r="T17" s="13" t="s">
        <v>52</v>
      </c>
      <c r="U17" s="14"/>
      <c r="V17" s="13" t="s">
        <v>52</v>
      </c>
      <c r="W17" s="14"/>
      <c r="X17" s="13" t="s">
        <v>52</v>
      </c>
      <c r="Y17" s="14"/>
      <c r="Z17" s="16" t="s">
        <v>52</v>
      </c>
      <c r="AA17" s="13" t="s">
        <v>52</v>
      </c>
      <c r="AB17" s="14"/>
      <c r="AC17" s="13" t="s">
        <v>52</v>
      </c>
      <c r="AD17" s="15"/>
      <c r="AE17" s="16" t="s">
        <v>52</v>
      </c>
      <c r="AF17" s="13" t="s">
        <v>52</v>
      </c>
      <c r="AG17" s="14"/>
      <c r="AH17" s="16" t="s">
        <v>52</v>
      </c>
      <c r="AI17" s="13"/>
      <c r="AJ17" s="13"/>
      <c r="AK17" s="13"/>
      <c r="AL17" s="13"/>
      <c r="AM17" s="13"/>
      <c r="AN17" s="13"/>
      <c r="AO17" s="16"/>
      <c r="AP17" s="17">
        <v>19</v>
      </c>
      <c r="AQ17" s="17">
        <v>0</v>
      </c>
      <c r="AR17" s="17">
        <v>0</v>
      </c>
      <c r="AS17" s="17">
        <v>0</v>
      </c>
      <c r="AT17" s="17">
        <v>4</v>
      </c>
    </row>
    <row r="18" spans="1:46" ht="105" x14ac:dyDescent="0.25">
      <c r="A18" s="2">
        <v>12</v>
      </c>
      <c r="B18" s="30" t="s">
        <v>108</v>
      </c>
      <c r="C18" s="2">
        <v>90176103</v>
      </c>
      <c r="D18" s="2" t="s">
        <v>9</v>
      </c>
      <c r="E18" s="2" t="s">
        <v>9</v>
      </c>
      <c r="F18" s="2" t="s">
        <v>9</v>
      </c>
      <c r="G18" s="2" t="s">
        <v>9</v>
      </c>
      <c r="H18" s="2" t="s">
        <v>9</v>
      </c>
      <c r="I18" s="3" t="s">
        <v>131</v>
      </c>
      <c r="J18" s="13" t="s">
        <v>9</v>
      </c>
      <c r="K18" s="14"/>
      <c r="L18" s="13" t="s">
        <v>9</v>
      </c>
      <c r="M18" s="14"/>
      <c r="N18" s="16" t="s">
        <v>9</v>
      </c>
      <c r="O18" s="13" t="s">
        <v>9</v>
      </c>
      <c r="P18" s="13"/>
      <c r="Q18" s="16" t="s">
        <v>9</v>
      </c>
      <c r="R18" s="13" t="s">
        <v>9</v>
      </c>
      <c r="S18" s="14"/>
      <c r="T18" s="13" t="s">
        <v>9</v>
      </c>
      <c r="U18" s="14"/>
      <c r="V18" s="13" t="s">
        <v>52</v>
      </c>
      <c r="W18" s="14"/>
      <c r="X18" s="13" t="s">
        <v>52</v>
      </c>
      <c r="Y18" s="14"/>
      <c r="Z18" s="16" t="s">
        <v>9</v>
      </c>
      <c r="AA18" s="13" t="s">
        <v>9</v>
      </c>
      <c r="AB18" s="14"/>
      <c r="AC18" s="13" t="s">
        <v>52</v>
      </c>
      <c r="AD18" s="15"/>
      <c r="AE18" s="16" t="s">
        <v>52</v>
      </c>
      <c r="AF18" s="13" t="s">
        <v>52</v>
      </c>
      <c r="AG18" s="14"/>
      <c r="AH18" s="16" t="s">
        <v>52</v>
      </c>
      <c r="AI18" s="13"/>
      <c r="AJ18" s="13"/>
      <c r="AK18" s="13"/>
      <c r="AL18" s="13"/>
      <c r="AM18" s="13"/>
      <c r="AN18" s="13"/>
      <c r="AO18" s="16"/>
      <c r="AP18" s="17">
        <v>23</v>
      </c>
      <c r="AQ18" s="17">
        <v>0</v>
      </c>
      <c r="AR18" s="17">
        <v>0</v>
      </c>
      <c r="AS18" s="17">
        <v>0</v>
      </c>
      <c r="AT18" s="17">
        <v>0</v>
      </c>
    </row>
    <row r="19" spans="1:46" ht="120" x14ac:dyDescent="0.25">
      <c r="A19" s="2">
        <v>13</v>
      </c>
      <c r="B19" s="30" t="s">
        <v>109</v>
      </c>
      <c r="C19" s="2">
        <v>90334943</v>
      </c>
      <c r="D19" s="2" t="s">
        <v>52</v>
      </c>
      <c r="E19" s="2" t="s">
        <v>52</v>
      </c>
      <c r="F19" s="2" t="s">
        <v>52</v>
      </c>
      <c r="G19" s="2" t="s">
        <v>9</v>
      </c>
      <c r="H19" s="2" t="s">
        <v>9</v>
      </c>
      <c r="I19" s="3" t="s">
        <v>132</v>
      </c>
      <c r="J19" s="13" t="s">
        <v>52</v>
      </c>
      <c r="K19" s="14"/>
      <c r="L19" s="13" t="s">
        <v>9</v>
      </c>
      <c r="M19" s="14"/>
      <c r="N19" s="16" t="s">
        <v>52</v>
      </c>
      <c r="O19" s="13" t="s">
        <v>52</v>
      </c>
      <c r="P19" s="13"/>
      <c r="Q19" s="16" t="s">
        <v>52</v>
      </c>
      <c r="R19" s="13" t="s">
        <v>9</v>
      </c>
      <c r="S19" s="14"/>
      <c r="T19" s="13" t="s">
        <v>52</v>
      </c>
      <c r="U19" s="14"/>
      <c r="V19" s="13" t="s">
        <v>52</v>
      </c>
      <c r="W19" s="14"/>
      <c r="X19" s="13" t="s">
        <v>52</v>
      </c>
      <c r="Y19" s="14"/>
      <c r="Z19" s="16" t="s">
        <v>52</v>
      </c>
      <c r="AA19" s="13" t="s">
        <v>52</v>
      </c>
      <c r="AB19" s="14"/>
      <c r="AC19" s="13" t="s">
        <v>9</v>
      </c>
      <c r="AD19" s="15"/>
      <c r="AE19" s="16" t="s">
        <v>52</v>
      </c>
      <c r="AF19" s="13" t="s">
        <v>52</v>
      </c>
      <c r="AG19" s="14"/>
      <c r="AH19" s="16" t="s">
        <v>52</v>
      </c>
      <c r="AI19" s="13"/>
      <c r="AJ19" s="13"/>
      <c r="AK19" s="13"/>
      <c r="AL19" s="13"/>
      <c r="AM19" s="13"/>
      <c r="AN19" s="13"/>
      <c r="AO19" s="16"/>
      <c r="AP19" s="17">
        <v>21</v>
      </c>
      <c r="AQ19" s="17">
        <v>0</v>
      </c>
      <c r="AR19" s="17">
        <v>0</v>
      </c>
      <c r="AS19" s="17">
        <v>0</v>
      </c>
      <c r="AT19" s="17">
        <v>2</v>
      </c>
    </row>
    <row r="20" spans="1:46" ht="120" x14ac:dyDescent="0.25">
      <c r="A20" s="2">
        <v>14</v>
      </c>
      <c r="B20" s="30" t="s">
        <v>110</v>
      </c>
      <c r="C20" s="2">
        <v>90711556</v>
      </c>
      <c r="D20" s="2" t="s">
        <v>9</v>
      </c>
      <c r="E20" s="2" t="s">
        <v>9</v>
      </c>
      <c r="F20" s="2" t="s">
        <v>52</v>
      </c>
      <c r="G20" s="2" t="s">
        <v>9</v>
      </c>
      <c r="H20" s="2" t="s">
        <v>9</v>
      </c>
      <c r="I20" s="3" t="s">
        <v>133</v>
      </c>
      <c r="J20" s="13" t="s">
        <v>9</v>
      </c>
      <c r="K20" s="14"/>
      <c r="L20" s="13" t="s">
        <v>9</v>
      </c>
      <c r="M20" s="14"/>
      <c r="N20" s="16" t="s">
        <v>9</v>
      </c>
      <c r="O20" s="13" t="s">
        <v>52</v>
      </c>
      <c r="P20" s="13"/>
      <c r="Q20" s="16" t="s">
        <v>52</v>
      </c>
      <c r="R20" s="13" t="s">
        <v>9</v>
      </c>
      <c r="S20" s="14"/>
      <c r="T20" s="13" t="s">
        <v>52</v>
      </c>
      <c r="U20" s="14"/>
      <c r="V20" s="13" t="s">
        <v>52</v>
      </c>
      <c r="W20" s="14"/>
      <c r="X20" s="13" t="s">
        <v>52</v>
      </c>
      <c r="Y20" s="14"/>
      <c r="Z20" s="16" t="s">
        <v>52</v>
      </c>
      <c r="AA20" s="13" t="s">
        <v>52</v>
      </c>
      <c r="AB20" s="14"/>
      <c r="AC20" s="13" t="s">
        <v>9</v>
      </c>
      <c r="AD20" s="15"/>
      <c r="AE20" s="16" t="s">
        <v>52</v>
      </c>
      <c r="AF20" s="13" t="s">
        <v>52</v>
      </c>
      <c r="AG20" s="14"/>
      <c r="AH20" s="16" t="s">
        <v>52</v>
      </c>
      <c r="AI20" s="13"/>
      <c r="AJ20" s="13"/>
      <c r="AK20" s="13"/>
      <c r="AL20" s="13"/>
      <c r="AM20" s="13"/>
      <c r="AN20" s="13"/>
      <c r="AO20" s="16"/>
      <c r="AP20" s="17">
        <v>23</v>
      </c>
      <c r="AQ20" s="17">
        <v>0</v>
      </c>
      <c r="AR20" s="17">
        <v>0</v>
      </c>
      <c r="AS20" s="17">
        <v>0</v>
      </c>
      <c r="AT20" s="17">
        <v>0</v>
      </c>
    </row>
    <row r="21" spans="1:46" ht="120" x14ac:dyDescent="0.25">
      <c r="A21" s="2">
        <v>15</v>
      </c>
      <c r="B21" s="30" t="s">
        <v>111</v>
      </c>
      <c r="C21" s="2">
        <v>90361940</v>
      </c>
      <c r="D21" s="2" t="s">
        <v>9</v>
      </c>
      <c r="E21" s="2" t="s">
        <v>9</v>
      </c>
      <c r="F21" s="2" t="s">
        <v>9</v>
      </c>
      <c r="G21" s="2" t="s">
        <v>9</v>
      </c>
      <c r="H21" s="2" t="s">
        <v>9</v>
      </c>
      <c r="I21" s="3" t="s">
        <v>134</v>
      </c>
      <c r="J21" s="13" t="s">
        <v>9</v>
      </c>
      <c r="K21" s="14"/>
      <c r="L21" s="13" t="s">
        <v>52</v>
      </c>
      <c r="M21" s="14"/>
      <c r="N21" s="16" t="s">
        <v>52</v>
      </c>
      <c r="O21" s="13" t="s">
        <v>9</v>
      </c>
      <c r="P21" s="13"/>
      <c r="Q21" s="16" t="s">
        <v>9</v>
      </c>
      <c r="R21" s="13" t="s">
        <v>9</v>
      </c>
      <c r="S21" s="14"/>
      <c r="T21" s="13" t="s">
        <v>9</v>
      </c>
      <c r="U21" s="14"/>
      <c r="V21" s="13" t="s">
        <v>52</v>
      </c>
      <c r="W21" s="14"/>
      <c r="X21" s="13" t="s">
        <v>52</v>
      </c>
      <c r="Y21" s="14"/>
      <c r="Z21" s="16" t="s">
        <v>9</v>
      </c>
      <c r="AA21" s="13" t="s">
        <v>9</v>
      </c>
      <c r="AB21" s="14"/>
      <c r="AC21" s="13" t="s">
        <v>52</v>
      </c>
      <c r="AD21" s="15"/>
      <c r="AE21" s="16" t="s">
        <v>52</v>
      </c>
      <c r="AF21" s="13" t="s">
        <v>9</v>
      </c>
      <c r="AG21" s="14"/>
      <c r="AH21" s="16" t="s">
        <v>9</v>
      </c>
      <c r="AI21" s="13"/>
      <c r="AJ21" s="13"/>
      <c r="AK21" s="13"/>
      <c r="AL21" s="13"/>
      <c r="AM21" s="13"/>
      <c r="AN21" s="13"/>
      <c r="AO21" s="16"/>
      <c r="AP21" s="17">
        <v>23</v>
      </c>
      <c r="AQ21" s="17">
        <v>0</v>
      </c>
      <c r="AR21" s="17">
        <v>0</v>
      </c>
      <c r="AS21" s="17">
        <v>0</v>
      </c>
      <c r="AT21" s="17">
        <v>0</v>
      </c>
    </row>
    <row r="22" spans="1:46" ht="120" x14ac:dyDescent="0.25">
      <c r="A22" s="2">
        <v>16</v>
      </c>
      <c r="B22" s="30" t="s">
        <v>112</v>
      </c>
      <c r="C22" s="2">
        <v>90535444</v>
      </c>
      <c r="D22" s="2" t="s">
        <v>9</v>
      </c>
      <c r="E22" s="2" t="s">
        <v>9</v>
      </c>
      <c r="F22" s="2" t="s">
        <v>9</v>
      </c>
      <c r="G22" s="2" t="s">
        <v>9</v>
      </c>
      <c r="H22" s="2" t="s">
        <v>9</v>
      </c>
      <c r="I22" s="3" t="s">
        <v>135</v>
      </c>
      <c r="J22" s="13" t="s">
        <v>9</v>
      </c>
      <c r="K22" s="14"/>
      <c r="L22" s="13" t="s">
        <v>52</v>
      </c>
      <c r="M22" s="14"/>
      <c r="N22" s="16" t="s">
        <v>52</v>
      </c>
      <c r="O22" s="13" t="s">
        <v>9</v>
      </c>
      <c r="P22" s="13"/>
      <c r="Q22" s="16" t="s">
        <v>9</v>
      </c>
      <c r="R22" s="13" t="s">
        <v>9</v>
      </c>
      <c r="S22" s="14"/>
      <c r="T22" s="13" t="s">
        <v>9</v>
      </c>
      <c r="U22" s="14"/>
      <c r="V22" s="13" t="s">
        <v>52</v>
      </c>
      <c r="W22" s="14"/>
      <c r="X22" s="13" t="s">
        <v>52</v>
      </c>
      <c r="Y22" s="14"/>
      <c r="Z22" s="16" t="s">
        <v>52</v>
      </c>
      <c r="AA22" s="13" t="s">
        <v>52</v>
      </c>
      <c r="AB22" s="14"/>
      <c r="AC22" s="13" t="s">
        <v>9</v>
      </c>
      <c r="AD22" s="15"/>
      <c r="AE22" s="16" t="s">
        <v>52</v>
      </c>
      <c r="AF22" s="13" t="s">
        <v>52</v>
      </c>
      <c r="AG22" s="14"/>
      <c r="AH22" s="16" t="s">
        <v>52</v>
      </c>
      <c r="AI22" s="13"/>
      <c r="AJ22" s="13"/>
      <c r="AK22" s="13"/>
      <c r="AL22" s="13"/>
      <c r="AM22" s="13"/>
      <c r="AN22" s="13"/>
      <c r="AO22" s="16"/>
      <c r="AP22" s="17">
        <v>23</v>
      </c>
      <c r="AQ22" s="17">
        <v>0</v>
      </c>
      <c r="AR22" s="17">
        <v>0</v>
      </c>
      <c r="AS22" s="17">
        <v>0</v>
      </c>
      <c r="AT22" s="17">
        <v>0</v>
      </c>
    </row>
    <row r="23" spans="1:46" ht="135" x14ac:dyDescent="0.25">
      <c r="A23" s="2">
        <v>17</v>
      </c>
      <c r="B23" s="30" t="s">
        <v>113</v>
      </c>
      <c r="C23" s="2">
        <v>90337746</v>
      </c>
      <c r="D23" s="2" t="s">
        <v>39</v>
      </c>
      <c r="E23" s="2" t="s">
        <v>52</v>
      </c>
      <c r="F23" s="2" t="s">
        <v>9</v>
      </c>
      <c r="G23" s="2" t="s">
        <v>9</v>
      </c>
      <c r="H23" s="2" t="s">
        <v>9</v>
      </c>
      <c r="I23" s="3" t="s">
        <v>136</v>
      </c>
      <c r="J23" s="13" t="s">
        <v>9</v>
      </c>
      <c r="K23" s="14"/>
      <c r="L23" s="13" t="s">
        <v>9</v>
      </c>
      <c r="M23" s="14"/>
      <c r="N23" s="16" t="s">
        <v>9</v>
      </c>
      <c r="O23" s="13" t="s">
        <v>9</v>
      </c>
      <c r="P23" s="13"/>
      <c r="Q23" s="16" t="s">
        <v>9</v>
      </c>
      <c r="R23" s="13" t="s">
        <v>9</v>
      </c>
      <c r="S23" s="14"/>
      <c r="T23" s="13" t="s">
        <v>9</v>
      </c>
      <c r="U23" s="14"/>
      <c r="V23" s="13" t="s">
        <v>52</v>
      </c>
      <c r="W23" s="14"/>
      <c r="X23" s="13" t="s">
        <v>52</v>
      </c>
      <c r="Y23" s="14"/>
      <c r="Z23" s="16" t="s">
        <v>9</v>
      </c>
      <c r="AA23" s="13" t="s">
        <v>9</v>
      </c>
      <c r="AB23" s="14"/>
      <c r="AC23" s="13" t="s">
        <v>52</v>
      </c>
      <c r="AD23" s="15"/>
      <c r="AE23" s="16" t="s">
        <v>52</v>
      </c>
      <c r="AF23" s="13" t="s">
        <v>9</v>
      </c>
      <c r="AG23" s="14"/>
      <c r="AH23" s="16" t="s">
        <v>9</v>
      </c>
      <c r="AI23" s="13"/>
      <c r="AJ23" s="13"/>
      <c r="AK23" s="13"/>
      <c r="AL23" s="13"/>
      <c r="AM23" s="13"/>
      <c r="AN23" s="13"/>
      <c r="AO23" s="16"/>
      <c r="AP23" s="17">
        <v>19</v>
      </c>
      <c r="AQ23" s="17">
        <v>0</v>
      </c>
      <c r="AR23" s="17">
        <v>0</v>
      </c>
      <c r="AS23" s="17">
        <v>2</v>
      </c>
      <c r="AT23" s="17">
        <v>2</v>
      </c>
    </row>
    <row r="24" spans="1:46" ht="120" x14ac:dyDescent="0.25">
      <c r="A24" s="2">
        <v>18</v>
      </c>
      <c r="B24" s="30" t="s">
        <v>114</v>
      </c>
      <c r="C24" s="2">
        <v>90568545</v>
      </c>
      <c r="D24" s="2" t="s">
        <v>39</v>
      </c>
      <c r="E24" s="2" t="s">
        <v>52</v>
      </c>
      <c r="F24" s="2" t="s">
        <v>52</v>
      </c>
      <c r="G24" s="2" t="s">
        <v>9</v>
      </c>
      <c r="H24" s="2" t="s">
        <v>9</v>
      </c>
      <c r="I24" s="3" t="s">
        <v>137</v>
      </c>
      <c r="J24" s="13" t="s">
        <v>52</v>
      </c>
      <c r="K24" s="14"/>
      <c r="L24" s="13" t="s">
        <v>52</v>
      </c>
      <c r="M24" s="14"/>
      <c r="N24" s="16" t="s">
        <v>52</v>
      </c>
      <c r="O24" s="13" t="s">
        <v>52</v>
      </c>
      <c r="P24" s="13"/>
      <c r="Q24" s="16" t="s">
        <v>52</v>
      </c>
      <c r="R24" s="13" t="s">
        <v>9</v>
      </c>
      <c r="S24" s="14"/>
      <c r="T24" s="13" t="s">
        <v>52</v>
      </c>
      <c r="U24" s="14"/>
      <c r="V24" s="13" t="s">
        <v>52</v>
      </c>
      <c r="W24" s="14"/>
      <c r="X24" s="13" t="s">
        <v>52</v>
      </c>
      <c r="Y24" s="14"/>
      <c r="Z24" s="16" t="s">
        <v>52</v>
      </c>
      <c r="AA24" s="13" t="s">
        <v>52</v>
      </c>
      <c r="AB24" s="14"/>
      <c r="AC24" s="13" t="s">
        <v>9</v>
      </c>
      <c r="AD24" s="15"/>
      <c r="AE24" s="16" t="s">
        <v>52</v>
      </c>
      <c r="AF24" s="13" t="s">
        <v>52</v>
      </c>
      <c r="AG24" s="14"/>
      <c r="AH24" s="16" t="s">
        <v>52</v>
      </c>
      <c r="AI24" s="13"/>
      <c r="AJ24" s="13"/>
      <c r="AK24" s="13"/>
      <c r="AL24" s="13"/>
      <c r="AM24" s="13"/>
      <c r="AN24" s="13"/>
      <c r="AO24" s="16"/>
      <c r="AP24" s="17">
        <v>22</v>
      </c>
      <c r="AQ24" s="17">
        <v>0</v>
      </c>
      <c r="AR24" s="17">
        <v>0</v>
      </c>
      <c r="AS24" s="17">
        <v>0</v>
      </c>
      <c r="AT24" s="17">
        <v>1</v>
      </c>
    </row>
    <row r="25" spans="1:46" ht="105" x14ac:dyDescent="0.25">
      <c r="A25" s="2">
        <v>19</v>
      </c>
      <c r="B25" s="30" t="s">
        <v>115</v>
      </c>
      <c r="C25" s="2">
        <v>90512463</v>
      </c>
      <c r="D25" s="2" t="s">
        <v>9</v>
      </c>
      <c r="E25" s="2" t="s">
        <v>9</v>
      </c>
      <c r="F25" s="2" t="s">
        <v>9</v>
      </c>
      <c r="G25" s="2" t="s">
        <v>9</v>
      </c>
      <c r="H25" s="2" t="s">
        <v>9</v>
      </c>
      <c r="I25" s="3" t="s">
        <v>138</v>
      </c>
      <c r="J25" s="13" t="s">
        <v>9</v>
      </c>
      <c r="K25" s="14"/>
      <c r="L25" s="13" t="s">
        <v>52</v>
      </c>
      <c r="M25" s="14"/>
      <c r="N25" s="16" t="s">
        <v>52</v>
      </c>
      <c r="O25" s="13" t="s">
        <v>9</v>
      </c>
      <c r="P25" s="13"/>
      <c r="Q25" s="16" t="s">
        <v>9</v>
      </c>
      <c r="R25" s="13" t="s">
        <v>9</v>
      </c>
      <c r="S25" s="14"/>
      <c r="T25" s="13" t="s">
        <v>52</v>
      </c>
      <c r="U25" s="14"/>
      <c r="V25" s="13" t="s">
        <v>52</v>
      </c>
      <c r="W25" s="14"/>
      <c r="X25" s="13" t="s">
        <v>52</v>
      </c>
      <c r="Y25" s="14"/>
      <c r="Z25" s="16" t="s">
        <v>52</v>
      </c>
      <c r="AA25" s="13" t="s">
        <v>9</v>
      </c>
      <c r="AB25" s="14"/>
      <c r="AC25" s="13" t="s">
        <v>52</v>
      </c>
      <c r="AD25" s="15"/>
      <c r="AE25" s="16" t="s">
        <v>52</v>
      </c>
      <c r="AF25" s="13" t="s">
        <v>52</v>
      </c>
      <c r="AG25" s="14"/>
      <c r="AH25" s="16" t="s">
        <v>52</v>
      </c>
      <c r="AI25" s="13"/>
      <c r="AJ25" s="13"/>
      <c r="AK25" s="13"/>
      <c r="AL25" s="13"/>
      <c r="AM25" s="13"/>
      <c r="AN25" s="13"/>
      <c r="AO25" s="16"/>
      <c r="AP25" s="17">
        <v>20</v>
      </c>
      <c r="AQ25" s="17">
        <v>0</v>
      </c>
      <c r="AR25" s="17">
        <v>0</v>
      </c>
      <c r="AS25" s="17">
        <v>0</v>
      </c>
      <c r="AT25" s="17">
        <v>3</v>
      </c>
    </row>
    <row r="26" spans="1:46" ht="120" x14ac:dyDescent="0.25">
      <c r="A26" s="2">
        <v>20</v>
      </c>
      <c r="B26" s="30" t="s">
        <v>116</v>
      </c>
      <c r="C26" s="2">
        <v>90465983</v>
      </c>
      <c r="D26" s="2" t="s">
        <v>52</v>
      </c>
      <c r="E26" s="2" t="s">
        <v>52</v>
      </c>
      <c r="F26" s="2" t="s">
        <v>52</v>
      </c>
      <c r="G26" s="2" t="s">
        <v>9</v>
      </c>
      <c r="H26" s="2" t="s">
        <v>9</v>
      </c>
      <c r="I26" s="3" t="s">
        <v>139</v>
      </c>
      <c r="J26" s="13" t="s">
        <v>52</v>
      </c>
      <c r="K26" s="14"/>
      <c r="L26" s="13" t="s">
        <v>52</v>
      </c>
      <c r="M26" s="14"/>
      <c r="N26" s="16" t="s">
        <v>52</v>
      </c>
      <c r="O26" s="13" t="s">
        <v>52</v>
      </c>
      <c r="P26" s="13"/>
      <c r="Q26" s="16" t="s">
        <v>52</v>
      </c>
      <c r="R26" s="13" t="s">
        <v>52</v>
      </c>
      <c r="S26" s="14"/>
      <c r="T26" s="13" t="s">
        <v>52</v>
      </c>
      <c r="U26" s="14"/>
      <c r="V26" s="13" t="s">
        <v>52</v>
      </c>
      <c r="W26" s="14"/>
      <c r="X26" s="13" t="s">
        <v>52</v>
      </c>
      <c r="Y26" s="14"/>
      <c r="Z26" s="16" t="s">
        <v>52</v>
      </c>
      <c r="AA26" s="13" t="s">
        <v>9</v>
      </c>
      <c r="AB26" s="14"/>
      <c r="AC26" s="13" t="s">
        <v>52</v>
      </c>
      <c r="AD26" s="15"/>
      <c r="AE26" s="16" t="s">
        <v>52</v>
      </c>
      <c r="AF26" s="13" t="s">
        <v>52</v>
      </c>
      <c r="AG26" s="14"/>
      <c r="AH26" s="16" t="s">
        <v>52</v>
      </c>
      <c r="AI26" s="13"/>
      <c r="AJ26" s="13"/>
      <c r="AK26" s="13"/>
      <c r="AL26" s="13"/>
      <c r="AM26" s="13"/>
      <c r="AN26" s="13"/>
      <c r="AO26" s="16"/>
      <c r="AP26" s="17">
        <v>15</v>
      </c>
      <c r="AQ26" s="17">
        <v>0</v>
      </c>
      <c r="AR26" s="17">
        <v>0</v>
      </c>
      <c r="AS26" s="17">
        <v>3</v>
      </c>
      <c r="AT26" s="17">
        <v>5</v>
      </c>
    </row>
    <row r="27" spans="1:46" ht="120" x14ac:dyDescent="0.25">
      <c r="A27" s="2">
        <v>21</v>
      </c>
      <c r="B27" s="30" t="s">
        <v>117</v>
      </c>
      <c r="C27" s="2">
        <v>90260051</v>
      </c>
      <c r="D27" s="2" t="s">
        <v>39</v>
      </c>
      <c r="E27" s="2" t="s">
        <v>39</v>
      </c>
      <c r="F27" s="2" t="s">
        <v>39</v>
      </c>
      <c r="G27" s="2" t="s">
        <v>39</v>
      </c>
      <c r="H27" s="2" t="s">
        <v>9</v>
      </c>
      <c r="I27" s="3" t="s">
        <v>140</v>
      </c>
      <c r="J27" s="13" t="s">
        <v>9</v>
      </c>
      <c r="K27" s="14"/>
      <c r="L27" s="13" t="s">
        <v>9</v>
      </c>
      <c r="M27" s="14"/>
      <c r="N27" s="16" t="s">
        <v>9</v>
      </c>
      <c r="O27" s="13" t="s">
        <v>9</v>
      </c>
      <c r="P27" s="13"/>
      <c r="Q27" s="16" t="s">
        <v>9</v>
      </c>
      <c r="R27" s="13" t="s">
        <v>9</v>
      </c>
      <c r="S27" s="14"/>
      <c r="T27" s="13" t="s">
        <v>52</v>
      </c>
      <c r="U27" s="14"/>
      <c r="V27" s="13" t="s">
        <v>52</v>
      </c>
      <c r="W27" s="14"/>
      <c r="X27" s="13" t="s">
        <v>52</v>
      </c>
      <c r="Y27" s="14"/>
      <c r="Z27" s="16" t="s">
        <v>52</v>
      </c>
      <c r="AA27" s="13" t="s">
        <v>9</v>
      </c>
      <c r="AB27" s="14"/>
      <c r="AC27" s="13" t="s">
        <v>52</v>
      </c>
      <c r="AD27" s="15"/>
      <c r="AE27" s="16" t="s">
        <v>52</v>
      </c>
      <c r="AF27" s="13" t="s">
        <v>52</v>
      </c>
      <c r="AG27" s="14"/>
      <c r="AH27" s="16" t="s">
        <v>52</v>
      </c>
      <c r="AI27" s="13"/>
      <c r="AJ27" s="13"/>
      <c r="AK27" s="13"/>
      <c r="AL27" s="13"/>
      <c r="AM27" s="13"/>
      <c r="AN27" s="13"/>
      <c r="AO27" s="16"/>
      <c r="AP27" s="17">
        <v>22</v>
      </c>
      <c r="AQ27" s="17">
        <v>0</v>
      </c>
      <c r="AR27" s="17">
        <v>0</v>
      </c>
      <c r="AS27" s="17">
        <v>1</v>
      </c>
      <c r="AT27" s="17">
        <v>0</v>
      </c>
    </row>
    <row r="28" spans="1:46" ht="16.5" x14ac:dyDescent="0.25">
      <c r="A28" s="2">
        <v>22</v>
      </c>
      <c r="B28" s="7"/>
      <c r="C28" s="2"/>
      <c r="D28" s="2"/>
      <c r="E28" s="2"/>
      <c r="F28" s="2"/>
      <c r="G28" s="2"/>
      <c r="H28" s="2"/>
      <c r="I28" s="4"/>
      <c r="J28" s="13"/>
      <c r="K28" s="14"/>
      <c r="L28" s="13"/>
      <c r="M28" s="14"/>
      <c r="N28" s="16"/>
      <c r="O28" s="13"/>
      <c r="P28" s="13"/>
      <c r="Q28" s="16"/>
      <c r="R28" s="13"/>
      <c r="S28" s="14"/>
      <c r="T28" s="13"/>
      <c r="U28" s="14"/>
      <c r="V28" s="13"/>
      <c r="W28" s="14"/>
      <c r="X28" s="13"/>
      <c r="Y28" s="14"/>
      <c r="Z28" s="16"/>
      <c r="AA28" s="13"/>
      <c r="AB28" s="14"/>
      <c r="AC28" s="13"/>
      <c r="AD28" s="15"/>
      <c r="AE28" s="16"/>
      <c r="AF28" s="13"/>
      <c r="AG28" s="14"/>
      <c r="AH28" s="16"/>
      <c r="AI28" s="13"/>
      <c r="AJ28" s="13"/>
      <c r="AK28" s="13"/>
      <c r="AL28" s="13"/>
      <c r="AM28" s="13"/>
      <c r="AN28" s="13"/>
      <c r="AO28" s="16"/>
      <c r="AP28" s="17"/>
      <c r="AQ28" s="17"/>
      <c r="AR28" s="17"/>
      <c r="AS28" s="17"/>
      <c r="AT28" s="17"/>
    </row>
    <row r="29" spans="1:46" ht="16.5" x14ac:dyDescent="0.25">
      <c r="A29" s="2">
        <v>23</v>
      </c>
      <c r="B29" s="7"/>
      <c r="C29" s="2"/>
      <c r="D29" s="2"/>
      <c r="E29" s="2"/>
      <c r="F29" s="2"/>
      <c r="G29" s="2"/>
      <c r="H29" s="2"/>
      <c r="I29" s="4"/>
      <c r="J29" s="13"/>
      <c r="K29" s="14"/>
      <c r="L29" s="13"/>
      <c r="M29" s="14"/>
      <c r="N29" s="16"/>
      <c r="O29" s="13"/>
      <c r="P29" s="13"/>
      <c r="Q29" s="16"/>
      <c r="R29" s="13"/>
      <c r="S29" s="14"/>
      <c r="T29" s="13"/>
      <c r="U29" s="14"/>
      <c r="V29" s="13"/>
      <c r="W29" s="14"/>
      <c r="X29" s="13"/>
      <c r="Y29" s="14"/>
      <c r="Z29" s="16"/>
      <c r="AA29" s="13"/>
      <c r="AB29" s="14"/>
      <c r="AC29" s="13"/>
      <c r="AD29" s="15"/>
      <c r="AE29" s="16"/>
      <c r="AF29" s="13"/>
      <c r="AG29" s="14"/>
      <c r="AH29" s="16"/>
      <c r="AI29" s="13"/>
      <c r="AJ29" s="13"/>
      <c r="AK29" s="13"/>
      <c r="AL29" s="13"/>
      <c r="AM29" s="13"/>
      <c r="AN29" s="13"/>
      <c r="AO29" s="16"/>
      <c r="AP29" s="17"/>
      <c r="AQ29" s="17"/>
      <c r="AR29" s="17"/>
      <c r="AS29" s="17"/>
      <c r="AT29" s="17"/>
    </row>
    <row r="30" spans="1:46" ht="16.5" x14ac:dyDescent="0.25">
      <c r="A30" s="2">
        <v>24</v>
      </c>
      <c r="B30" s="7"/>
      <c r="C30" s="2"/>
      <c r="D30" s="2"/>
      <c r="E30" s="2"/>
      <c r="F30" s="2"/>
      <c r="G30" s="2"/>
      <c r="H30" s="2"/>
      <c r="I30" s="4"/>
      <c r="J30" s="13"/>
      <c r="K30" s="14"/>
      <c r="L30" s="13"/>
      <c r="M30" s="14"/>
      <c r="N30" s="16"/>
      <c r="O30" s="13"/>
      <c r="P30" s="13"/>
      <c r="Q30" s="16"/>
      <c r="R30" s="13"/>
      <c r="S30" s="14"/>
      <c r="T30" s="13"/>
      <c r="U30" s="14"/>
      <c r="V30" s="13"/>
      <c r="W30" s="14"/>
      <c r="X30" s="13"/>
      <c r="Y30" s="14"/>
      <c r="Z30" s="16"/>
      <c r="AA30" s="13"/>
      <c r="AB30" s="14"/>
      <c r="AC30" s="13"/>
      <c r="AD30" s="15"/>
      <c r="AE30" s="16"/>
      <c r="AF30" s="13"/>
      <c r="AG30" s="14"/>
      <c r="AH30" s="16"/>
      <c r="AI30" s="13"/>
      <c r="AJ30" s="13"/>
      <c r="AK30" s="13"/>
      <c r="AL30" s="13"/>
      <c r="AM30" s="13"/>
      <c r="AN30" s="13"/>
      <c r="AO30" s="16"/>
      <c r="AP30" s="17"/>
      <c r="AQ30" s="17"/>
      <c r="AR30" s="17"/>
      <c r="AS30" s="17"/>
      <c r="AT30" s="17"/>
    </row>
    <row r="31" spans="1:46" ht="16.5" x14ac:dyDescent="0.25">
      <c r="A31" s="2">
        <v>25</v>
      </c>
      <c r="B31" s="7"/>
      <c r="C31" s="2"/>
      <c r="D31" s="2"/>
      <c r="E31" s="2"/>
      <c r="F31" s="2"/>
      <c r="G31" s="2"/>
      <c r="H31" s="2"/>
      <c r="I31" s="4"/>
      <c r="J31" s="13"/>
      <c r="K31" s="14"/>
      <c r="L31" s="13"/>
      <c r="M31" s="14"/>
      <c r="N31" s="16"/>
      <c r="O31" s="13"/>
      <c r="P31" s="13"/>
      <c r="Q31" s="16"/>
      <c r="R31" s="13"/>
      <c r="S31" s="14"/>
      <c r="T31" s="13"/>
      <c r="U31" s="14"/>
      <c r="V31" s="13"/>
      <c r="W31" s="14"/>
      <c r="X31" s="13"/>
      <c r="Y31" s="14"/>
      <c r="Z31" s="16"/>
      <c r="AA31" s="13"/>
      <c r="AB31" s="14"/>
      <c r="AC31" s="13"/>
      <c r="AD31" s="15"/>
      <c r="AE31" s="16"/>
      <c r="AF31" s="13"/>
      <c r="AG31" s="14"/>
      <c r="AH31" s="16"/>
      <c r="AI31" s="13"/>
      <c r="AJ31" s="13"/>
      <c r="AK31" s="13"/>
      <c r="AL31" s="13"/>
      <c r="AM31" s="13"/>
      <c r="AN31" s="13"/>
      <c r="AO31" s="16"/>
      <c r="AP31" s="6"/>
      <c r="AQ31" s="6"/>
      <c r="AR31" s="6"/>
      <c r="AS31" s="6"/>
      <c r="AT31" s="6"/>
    </row>
    <row r="32" spans="1:46" ht="16.5" x14ac:dyDescent="0.25">
      <c r="A32" s="2">
        <v>26</v>
      </c>
      <c r="B32" s="7"/>
      <c r="C32" s="2"/>
      <c r="D32" s="2"/>
      <c r="E32" s="2"/>
      <c r="F32" s="2"/>
      <c r="G32" s="2"/>
      <c r="H32" s="2"/>
      <c r="I32" s="4"/>
      <c r="J32" s="13"/>
      <c r="K32" s="14"/>
      <c r="L32" s="13"/>
      <c r="M32" s="14"/>
      <c r="N32" s="16"/>
      <c r="O32" s="13"/>
      <c r="P32" s="13"/>
      <c r="Q32" s="16"/>
      <c r="R32" s="13"/>
      <c r="S32" s="14"/>
      <c r="T32" s="13"/>
      <c r="U32" s="14"/>
      <c r="V32" s="13"/>
      <c r="W32" s="14"/>
      <c r="X32" s="13"/>
      <c r="Y32" s="14"/>
      <c r="Z32" s="16"/>
      <c r="AA32" s="13"/>
      <c r="AB32" s="14"/>
      <c r="AC32" s="13"/>
      <c r="AD32" s="15"/>
      <c r="AE32" s="16"/>
      <c r="AF32" s="13"/>
      <c r="AG32" s="14"/>
      <c r="AH32" s="16"/>
      <c r="AI32" s="13"/>
      <c r="AJ32" s="13"/>
      <c r="AK32" s="13"/>
      <c r="AL32" s="13"/>
      <c r="AM32" s="13"/>
      <c r="AN32" s="13"/>
      <c r="AO32" s="16"/>
      <c r="AP32" s="6"/>
      <c r="AQ32" s="6"/>
      <c r="AR32" s="6"/>
      <c r="AS32" s="6"/>
      <c r="AT32" s="6"/>
    </row>
    <row r="33" spans="1:46" ht="16.5" x14ac:dyDescent="0.25">
      <c r="A33" s="2">
        <v>27</v>
      </c>
      <c r="B33" s="7"/>
      <c r="C33" s="2"/>
      <c r="D33" s="2"/>
      <c r="E33" s="2"/>
      <c r="F33" s="2"/>
      <c r="G33" s="2"/>
      <c r="H33" s="2"/>
      <c r="I33" s="4"/>
      <c r="J33" s="13"/>
      <c r="K33" s="14"/>
      <c r="L33" s="13"/>
      <c r="M33" s="14"/>
      <c r="N33" s="16"/>
      <c r="O33" s="13"/>
      <c r="P33" s="13"/>
      <c r="Q33" s="16"/>
      <c r="R33" s="13"/>
      <c r="S33" s="14"/>
      <c r="T33" s="13"/>
      <c r="U33" s="14"/>
      <c r="V33" s="13"/>
      <c r="W33" s="14"/>
      <c r="X33" s="13"/>
      <c r="Y33" s="14"/>
      <c r="Z33" s="16"/>
      <c r="AA33" s="13"/>
      <c r="AB33" s="14"/>
      <c r="AC33" s="13"/>
      <c r="AD33" s="15"/>
      <c r="AE33" s="16"/>
      <c r="AF33" s="13"/>
      <c r="AG33" s="14"/>
      <c r="AH33" s="16"/>
      <c r="AI33" s="13"/>
      <c r="AJ33" s="13"/>
      <c r="AK33" s="13"/>
      <c r="AL33" s="13"/>
      <c r="AM33" s="13"/>
      <c r="AN33" s="13"/>
      <c r="AO33" s="16"/>
      <c r="AP33" s="6"/>
      <c r="AQ33" s="6"/>
      <c r="AR33" s="6"/>
      <c r="AS33" s="6"/>
      <c r="AT33" s="6"/>
    </row>
    <row r="34" spans="1:46" ht="16.5" x14ac:dyDescent="0.25">
      <c r="A34" s="2">
        <v>28</v>
      </c>
      <c r="B34" s="7"/>
      <c r="C34" s="2"/>
      <c r="D34" s="2"/>
      <c r="E34" s="2"/>
      <c r="F34" s="2"/>
      <c r="G34" s="2"/>
      <c r="H34" s="2"/>
      <c r="I34" s="4"/>
      <c r="J34" s="13"/>
      <c r="K34" s="14"/>
      <c r="L34" s="13"/>
      <c r="M34" s="14"/>
      <c r="N34" s="16"/>
      <c r="O34" s="13"/>
      <c r="P34" s="13"/>
      <c r="Q34" s="16"/>
      <c r="R34" s="13"/>
      <c r="S34" s="14"/>
      <c r="T34" s="13"/>
      <c r="U34" s="14"/>
      <c r="V34" s="13"/>
      <c r="W34" s="14"/>
      <c r="X34" s="13"/>
      <c r="Y34" s="14"/>
      <c r="Z34" s="16"/>
      <c r="AA34" s="13"/>
      <c r="AB34" s="14"/>
      <c r="AC34" s="13"/>
      <c r="AD34" s="15"/>
      <c r="AE34" s="16"/>
      <c r="AF34" s="13"/>
      <c r="AG34" s="14"/>
      <c r="AH34" s="16"/>
      <c r="AI34" s="13"/>
      <c r="AJ34" s="13"/>
      <c r="AK34" s="13"/>
      <c r="AL34" s="13"/>
      <c r="AM34" s="13"/>
      <c r="AN34" s="13"/>
      <c r="AO34" s="16"/>
      <c r="AP34" s="6"/>
      <c r="AQ34" s="6"/>
      <c r="AR34" s="6"/>
      <c r="AS34" s="6"/>
      <c r="AT34" s="6"/>
    </row>
    <row r="35" spans="1:46" ht="16.5" x14ac:dyDescent="0.25">
      <c r="A35" s="2">
        <v>29</v>
      </c>
      <c r="B35" s="7"/>
      <c r="C35" s="2"/>
      <c r="D35" s="2"/>
      <c r="E35" s="2"/>
      <c r="F35" s="2"/>
      <c r="G35" s="2"/>
      <c r="H35" s="2"/>
      <c r="I35" s="4"/>
      <c r="J35" s="13"/>
      <c r="K35" s="14"/>
      <c r="L35" s="13"/>
      <c r="M35" s="14"/>
      <c r="N35" s="16"/>
      <c r="O35" s="13"/>
      <c r="P35" s="13"/>
      <c r="Q35" s="16"/>
      <c r="R35" s="13"/>
      <c r="S35" s="14"/>
      <c r="T35" s="13"/>
      <c r="U35" s="14"/>
      <c r="V35" s="13"/>
      <c r="W35" s="14"/>
      <c r="X35" s="13"/>
      <c r="Y35" s="14"/>
      <c r="Z35" s="16"/>
      <c r="AA35" s="13"/>
      <c r="AB35" s="14"/>
      <c r="AC35" s="13"/>
      <c r="AD35" s="15"/>
      <c r="AE35" s="16"/>
      <c r="AF35" s="13"/>
      <c r="AG35" s="14"/>
      <c r="AH35" s="16"/>
      <c r="AI35" s="13"/>
      <c r="AJ35" s="13"/>
      <c r="AK35" s="13"/>
      <c r="AL35" s="13"/>
      <c r="AM35" s="13"/>
      <c r="AN35" s="13"/>
      <c r="AO35" s="16"/>
      <c r="AP35" s="6"/>
      <c r="AQ35" s="6"/>
      <c r="AR35" s="6"/>
      <c r="AS35" s="6"/>
      <c r="AT35" s="6"/>
    </row>
    <row r="36" spans="1:46" ht="16.5" x14ac:dyDescent="0.25">
      <c r="A36" s="2">
        <v>30</v>
      </c>
      <c r="B36" s="7"/>
      <c r="C36" s="2"/>
      <c r="D36" s="2"/>
      <c r="E36" s="2"/>
      <c r="F36" s="2"/>
      <c r="G36" s="2"/>
      <c r="H36" s="2"/>
      <c r="I36" s="4"/>
      <c r="J36" s="13"/>
      <c r="K36" s="14"/>
      <c r="L36" s="13"/>
      <c r="M36" s="14"/>
      <c r="N36" s="16"/>
      <c r="O36" s="13"/>
      <c r="P36" s="13"/>
      <c r="Q36" s="16"/>
      <c r="R36" s="13"/>
      <c r="S36" s="14"/>
      <c r="T36" s="13"/>
      <c r="U36" s="14"/>
      <c r="V36" s="13"/>
      <c r="W36" s="14"/>
      <c r="X36" s="13"/>
      <c r="Y36" s="14"/>
      <c r="Z36" s="16"/>
      <c r="AA36" s="13"/>
      <c r="AB36" s="14"/>
      <c r="AC36" s="13"/>
      <c r="AD36" s="15"/>
      <c r="AE36" s="16"/>
      <c r="AF36" s="13"/>
      <c r="AG36" s="14"/>
      <c r="AH36" s="16"/>
      <c r="AI36" s="13"/>
      <c r="AJ36" s="13"/>
      <c r="AK36" s="13"/>
      <c r="AL36" s="13"/>
      <c r="AM36" s="13"/>
      <c r="AN36" s="13"/>
      <c r="AO36" s="16"/>
      <c r="AP36" s="6"/>
      <c r="AQ36" s="6"/>
      <c r="AR36" s="6"/>
      <c r="AS36" s="6"/>
      <c r="AT36" s="6"/>
    </row>
  </sheetData>
  <mergeCells count="21">
    <mergeCell ref="B2:C2"/>
    <mergeCell ref="D2:H2"/>
    <mergeCell ref="B3:C3"/>
    <mergeCell ref="D3:H3"/>
    <mergeCell ref="AF5:AH5"/>
    <mergeCell ref="D5:H5"/>
    <mergeCell ref="I5:I6"/>
    <mergeCell ref="A5:A6"/>
    <mergeCell ref="B5:B6"/>
    <mergeCell ref="C5:C6"/>
    <mergeCell ref="AT5:AT6"/>
    <mergeCell ref="AS5:AS6"/>
    <mergeCell ref="AR5:AR6"/>
    <mergeCell ref="AQ5:AQ6"/>
    <mergeCell ref="AP5:AP6"/>
    <mergeCell ref="AI5:AL5"/>
    <mergeCell ref="AM5:AO5"/>
    <mergeCell ref="J5:N5"/>
    <mergeCell ref="O5:Q5"/>
    <mergeCell ref="R5:Z5"/>
    <mergeCell ref="AA5:AE5"/>
  </mergeCells>
  <conditionalFormatting sqref="J7:J36 L7:L36 O7:O36 R7:R36 T7:T36 V7:V36 AA7:AA36 AC7:AC36 AF7:AF36 AI7:AI36 AK7:AK36">
    <cfRule type="containsText" dxfId="71" priority="5" operator="containsText" text="AD">
      <formula>NOT(ISERROR(SEARCH(("AD"),(J7))))</formula>
    </cfRule>
  </conditionalFormatting>
  <conditionalFormatting sqref="J7:J36 L7:L36 O7:O36 R7:R36 T7:T36 V7:V36 AA7:AA36 AC7:AC36 AF7:AF36 AI7:AI36 AK7:AK36">
    <cfRule type="containsText" dxfId="70" priority="6" operator="containsText" text="A">
      <formula>NOT(ISERROR(SEARCH(("A"),(J7))))</formula>
    </cfRule>
  </conditionalFormatting>
  <conditionalFormatting sqref="J7:J36 L7:L36 O7:O36 R7:R36 T7:T36 V7:V36 AA7:AA36 AC7:AC36 AF7:AF36 AI7:AI36 AK7:AK36">
    <cfRule type="containsText" dxfId="69" priority="7" operator="containsText" text="B">
      <formula>NOT(ISERROR(SEARCH(("B"),(J7))))</formula>
    </cfRule>
  </conditionalFormatting>
  <conditionalFormatting sqref="J7:J36 L7:L36 O7:O36 R7:R36 T7:T36 V7:V36 AA7:AA36 AC7:AC36 AF7:AF36 AI7:AI36 AK7:AK36">
    <cfRule type="containsText" dxfId="68" priority="8" operator="containsText" text="C">
      <formula>NOT(ISERROR(SEARCH(("C"),(J7))))</formula>
    </cfRule>
  </conditionalFormatting>
  <conditionalFormatting sqref="AM7:AM36">
    <cfRule type="containsText" dxfId="67" priority="9" operator="containsText" text="AD">
      <formula>NOT(ISERROR(SEARCH(("AD"),(AM7))))</formula>
    </cfRule>
  </conditionalFormatting>
  <conditionalFormatting sqref="AM7:AM36">
    <cfRule type="containsText" dxfId="66" priority="10" operator="containsText" text="A">
      <formula>NOT(ISERROR(SEARCH(("A"),(AM7))))</formula>
    </cfRule>
  </conditionalFormatting>
  <conditionalFormatting sqref="AM7:AM36">
    <cfRule type="containsText" dxfId="65" priority="11" operator="containsText" text="B">
      <formula>NOT(ISERROR(SEARCH(("B"),(AM7))))</formula>
    </cfRule>
  </conditionalFormatting>
  <conditionalFormatting sqref="AM7:AM36">
    <cfRule type="containsText" dxfId="64" priority="12" operator="containsText" text="C">
      <formula>NOT(ISERROR(SEARCH(("C"),(AM7))))</formula>
    </cfRule>
  </conditionalFormatting>
  <conditionalFormatting sqref="X7:X36">
    <cfRule type="containsText" dxfId="63" priority="1" operator="containsText" text="AD">
      <formula>NOT(ISERROR(SEARCH(("AD"),(X7))))</formula>
    </cfRule>
  </conditionalFormatting>
  <conditionalFormatting sqref="X7:X36">
    <cfRule type="containsText" dxfId="62" priority="2" operator="containsText" text="A">
      <formula>NOT(ISERROR(SEARCH(("A"),(X7))))</formula>
    </cfRule>
  </conditionalFormatting>
  <conditionalFormatting sqref="X7:X36">
    <cfRule type="containsText" dxfId="61" priority="3" operator="containsText" text="B">
      <formula>NOT(ISERROR(SEARCH(("B"),(X7))))</formula>
    </cfRule>
  </conditionalFormatting>
  <conditionalFormatting sqref="X7:X36">
    <cfRule type="containsText" dxfId="60" priority="4" operator="containsText" text="C">
      <formula>NOT(ISERROR(SEARCH(("C"),(X7))))</formula>
    </cfRule>
  </conditionalFormatting>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F0B71-9026-442F-B237-D6445093C2C8}">
  <sheetPr codeName="Hoja3"/>
  <dimension ref="A2:BH36"/>
  <sheetViews>
    <sheetView zoomScale="90" zoomScaleNormal="90" workbookViewId="0">
      <selection activeCell="B7" sqref="B7:B27"/>
    </sheetView>
  </sheetViews>
  <sheetFormatPr baseColWidth="10" defaultRowHeight="15" x14ac:dyDescent="0.25"/>
  <cols>
    <col min="1" max="1" width="3" bestFit="1" customWidth="1"/>
    <col min="2" max="2" width="11.85546875" customWidth="1"/>
    <col min="3" max="3" width="6" customWidth="1"/>
    <col min="4" max="8" width="8.85546875" style="1" customWidth="1"/>
    <col min="9" max="9" width="64.140625" style="5" customWidth="1"/>
    <col min="10" max="10" width="2.85546875" bestFit="1" customWidth="1"/>
    <col min="11" max="11" width="3.28515625" bestFit="1" customWidth="1"/>
    <col min="12" max="12" width="2.85546875" bestFit="1" customWidth="1"/>
    <col min="13" max="13" width="3.28515625" bestFit="1" customWidth="1"/>
    <col min="14" max="15" width="2.85546875" bestFit="1" customWidth="1"/>
    <col min="16" max="16" width="3.28515625" bestFit="1" customWidth="1"/>
    <col min="17" max="18" width="2.85546875" bestFit="1" customWidth="1"/>
    <col min="19" max="19" width="3.28515625" bestFit="1" customWidth="1"/>
    <col min="20" max="20" width="2.85546875" bestFit="1" customWidth="1"/>
    <col min="21" max="21" width="3.28515625" bestFit="1" customWidth="1"/>
    <col min="22" max="22" width="2.85546875" bestFit="1" customWidth="1"/>
    <col min="23" max="23" width="3.28515625" bestFit="1" customWidth="1"/>
    <col min="24" max="24" width="2.85546875" bestFit="1" customWidth="1"/>
    <col min="25" max="25" width="3.28515625" bestFit="1" customWidth="1"/>
    <col min="26" max="27" width="2.85546875" bestFit="1" customWidth="1"/>
    <col min="28" max="28" width="3.28515625" bestFit="1" customWidth="1"/>
    <col min="29" max="29" width="2.85546875" bestFit="1" customWidth="1"/>
    <col min="30" max="30" width="3.28515625" bestFit="1" customWidth="1"/>
    <col min="31" max="32" width="2.85546875" bestFit="1" customWidth="1"/>
    <col min="33" max="33" width="3.28515625" bestFit="1" customWidth="1"/>
    <col min="34" max="35" width="2.85546875" bestFit="1" customWidth="1"/>
    <col min="36" max="36" width="3.28515625" bestFit="1" customWidth="1"/>
    <col min="37" max="37" width="2.85546875" bestFit="1" customWidth="1"/>
    <col min="38" max="38" width="3.28515625" bestFit="1" customWidth="1"/>
    <col min="39" max="39" width="2.85546875" bestFit="1" customWidth="1"/>
    <col min="40" max="40" width="3.28515625" bestFit="1" customWidth="1"/>
    <col min="41" max="41" width="2.85546875" bestFit="1" customWidth="1"/>
  </cols>
  <sheetData>
    <row r="2" spans="1:60" x14ac:dyDescent="0.25">
      <c r="B2" s="28"/>
      <c r="C2" s="28"/>
      <c r="D2" s="28"/>
      <c r="E2" s="28"/>
      <c r="F2" s="28"/>
      <c r="G2" s="28"/>
      <c r="H2" s="28"/>
    </row>
    <row r="3" spans="1:60" x14ac:dyDescent="0.25">
      <c r="B3" s="28"/>
      <c r="C3" s="28"/>
      <c r="D3" s="28"/>
      <c r="E3" s="28"/>
      <c r="F3" s="28"/>
      <c r="G3" s="28"/>
      <c r="H3" s="28"/>
    </row>
    <row r="4" spans="1:60" x14ac:dyDescent="0.25">
      <c r="D4"/>
      <c r="E4"/>
      <c r="F4"/>
      <c r="G4"/>
      <c r="H4"/>
      <c r="I4"/>
    </row>
    <row r="5" spans="1:60" ht="30" customHeight="1" x14ac:dyDescent="0.25">
      <c r="A5" s="122" t="s">
        <v>46</v>
      </c>
      <c r="B5" s="122" t="s">
        <v>79</v>
      </c>
      <c r="C5" s="122" t="s">
        <v>80</v>
      </c>
      <c r="D5" s="122" t="s">
        <v>89</v>
      </c>
      <c r="E5" s="122"/>
      <c r="F5" s="122"/>
      <c r="G5" s="122"/>
      <c r="H5" s="122"/>
      <c r="I5" s="123" t="s">
        <v>86</v>
      </c>
      <c r="J5" s="118" t="s">
        <v>21</v>
      </c>
      <c r="K5" s="119"/>
      <c r="L5" s="119"/>
      <c r="M5" s="119"/>
      <c r="N5" s="119"/>
      <c r="O5" s="118" t="s">
        <v>91</v>
      </c>
      <c r="P5" s="119"/>
      <c r="Q5" s="119"/>
      <c r="R5" s="118" t="s">
        <v>71</v>
      </c>
      <c r="S5" s="119"/>
      <c r="T5" s="119"/>
      <c r="U5" s="119"/>
      <c r="V5" s="119"/>
      <c r="W5" s="119"/>
      <c r="X5" s="119"/>
      <c r="Y5" s="119"/>
      <c r="Z5" s="119"/>
      <c r="AA5" s="118" t="s">
        <v>26</v>
      </c>
      <c r="AB5" s="119"/>
      <c r="AC5" s="119"/>
      <c r="AD5" s="119"/>
      <c r="AE5" s="119"/>
      <c r="AF5" s="118" t="s">
        <v>28</v>
      </c>
      <c r="AG5" s="119"/>
      <c r="AH5" s="119"/>
      <c r="AI5" s="120" t="s">
        <v>29</v>
      </c>
      <c r="AJ5" s="121"/>
      <c r="AK5" s="121"/>
      <c r="AL5" s="121"/>
      <c r="AM5" s="118" t="s">
        <v>72</v>
      </c>
      <c r="AN5" s="119"/>
      <c r="AO5" s="119"/>
      <c r="AP5" s="124" t="s">
        <v>81</v>
      </c>
      <c r="AQ5" s="124" t="s">
        <v>82</v>
      </c>
      <c r="AR5" s="124" t="s">
        <v>83</v>
      </c>
      <c r="AS5" s="124" t="s">
        <v>84</v>
      </c>
      <c r="AT5" s="124" t="s">
        <v>85</v>
      </c>
    </row>
    <row r="6" spans="1:60" ht="24" x14ac:dyDescent="0.25">
      <c r="A6" s="122"/>
      <c r="B6" s="122"/>
      <c r="C6" s="122"/>
      <c r="D6" s="26" t="s">
        <v>39</v>
      </c>
      <c r="E6" s="26" t="s">
        <v>41</v>
      </c>
      <c r="F6" s="26" t="s">
        <v>42</v>
      </c>
      <c r="G6" s="26" t="s">
        <v>44</v>
      </c>
      <c r="H6" s="26" t="s">
        <v>88</v>
      </c>
      <c r="I6" s="123"/>
      <c r="J6" s="8" t="s">
        <v>73</v>
      </c>
      <c r="K6" s="9" t="s">
        <v>78</v>
      </c>
      <c r="L6" s="10" t="s">
        <v>74</v>
      </c>
      <c r="M6" s="9" t="s">
        <v>78</v>
      </c>
      <c r="N6" s="11" t="s">
        <v>77</v>
      </c>
      <c r="O6" s="10" t="s">
        <v>73</v>
      </c>
      <c r="P6" s="9" t="s">
        <v>78</v>
      </c>
      <c r="Q6" s="11" t="s">
        <v>77</v>
      </c>
      <c r="R6" s="10" t="s">
        <v>73</v>
      </c>
      <c r="S6" s="9" t="s">
        <v>78</v>
      </c>
      <c r="T6" s="10" t="s">
        <v>74</v>
      </c>
      <c r="U6" s="9" t="s">
        <v>78</v>
      </c>
      <c r="V6" s="10" t="s">
        <v>75</v>
      </c>
      <c r="W6" s="9" t="s">
        <v>78</v>
      </c>
      <c r="X6" s="8" t="s">
        <v>76</v>
      </c>
      <c r="Y6" s="9" t="s">
        <v>78</v>
      </c>
      <c r="Z6" s="11" t="s">
        <v>77</v>
      </c>
      <c r="AA6" s="10" t="s">
        <v>73</v>
      </c>
      <c r="AB6" s="9" t="s">
        <v>78</v>
      </c>
      <c r="AC6" s="10" t="s">
        <v>74</v>
      </c>
      <c r="AD6" s="9" t="s">
        <v>78</v>
      </c>
      <c r="AE6" s="11" t="s">
        <v>77</v>
      </c>
      <c r="AF6" s="8" t="s">
        <v>73</v>
      </c>
      <c r="AG6" s="9" t="s">
        <v>78</v>
      </c>
      <c r="AH6" s="11" t="s">
        <v>77</v>
      </c>
      <c r="AI6" s="10" t="s">
        <v>73</v>
      </c>
      <c r="AJ6" s="9" t="s">
        <v>78</v>
      </c>
      <c r="AK6" s="10" t="s">
        <v>74</v>
      </c>
      <c r="AL6" s="9" t="s">
        <v>78</v>
      </c>
      <c r="AM6" s="10" t="s">
        <v>73</v>
      </c>
      <c r="AN6" s="9" t="s">
        <v>78</v>
      </c>
      <c r="AO6" s="11" t="s">
        <v>77</v>
      </c>
      <c r="AP6" s="124"/>
      <c r="AQ6" s="124"/>
      <c r="AR6" s="124"/>
      <c r="AS6" s="124"/>
      <c r="AT6" s="124"/>
    </row>
    <row r="7" spans="1:60" ht="165" x14ac:dyDescent="0.25">
      <c r="A7" s="2">
        <v>1</v>
      </c>
      <c r="B7" s="30" t="s">
        <v>97</v>
      </c>
      <c r="C7" s="2">
        <v>90373031</v>
      </c>
      <c r="D7" s="2" t="s">
        <v>52</v>
      </c>
      <c r="E7" s="2" t="s">
        <v>52</v>
      </c>
      <c r="F7" s="2" t="s">
        <v>9</v>
      </c>
      <c r="G7" s="2" t="s">
        <v>9</v>
      </c>
      <c r="H7" s="2" t="s">
        <v>9</v>
      </c>
      <c r="I7" s="3" t="s">
        <v>161</v>
      </c>
      <c r="J7" s="13" t="s">
        <v>9</v>
      </c>
      <c r="K7" s="12"/>
      <c r="L7" s="13" t="s">
        <v>9</v>
      </c>
      <c r="M7" s="12"/>
      <c r="N7" s="16" t="s">
        <v>9</v>
      </c>
      <c r="O7" s="13" t="s">
        <v>52</v>
      </c>
      <c r="P7" s="12"/>
      <c r="Q7" s="16" t="s">
        <v>52</v>
      </c>
      <c r="R7" s="13" t="s">
        <v>9</v>
      </c>
      <c r="S7" s="12"/>
      <c r="T7" s="13" t="s">
        <v>9</v>
      </c>
      <c r="U7" s="12"/>
      <c r="V7" s="13" t="s">
        <v>52</v>
      </c>
      <c r="W7" s="12"/>
      <c r="X7" s="13" t="s">
        <v>9</v>
      </c>
      <c r="Y7" s="12"/>
      <c r="Z7" s="16" t="s">
        <v>9</v>
      </c>
      <c r="AA7" s="13" t="s">
        <v>52</v>
      </c>
      <c r="AB7" s="12"/>
      <c r="AC7" s="13" t="s">
        <v>52</v>
      </c>
      <c r="AD7" s="12"/>
      <c r="AE7" s="16" t="s">
        <v>52</v>
      </c>
      <c r="AF7" s="13" t="s">
        <v>52</v>
      </c>
      <c r="AG7" s="12"/>
      <c r="AH7" s="16" t="s">
        <v>52</v>
      </c>
      <c r="AI7" s="13"/>
      <c r="AJ7" s="12"/>
      <c r="AK7" s="13"/>
      <c r="AL7" s="12"/>
      <c r="AM7" s="13"/>
      <c r="AN7" s="12"/>
      <c r="AO7" s="16"/>
      <c r="AP7" s="17">
        <v>24</v>
      </c>
      <c r="AQ7" s="17">
        <v>0</v>
      </c>
      <c r="AR7" s="17">
        <v>0</v>
      </c>
      <c r="AS7" s="17">
        <v>0</v>
      </c>
      <c r="AT7" s="17">
        <v>17</v>
      </c>
      <c r="BH7">
        <v>1</v>
      </c>
    </row>
    <row r="8" spans="1:60" ht="120" x14ac:dyDescent="0.25">
      <c r="A8" s="2">
        <v>2</v>
      </c>
      <c r="B8" s="30" t="s">
        <v>98</v>
      </c>
      <c r="C8" s="2">
        <v>90479090</v>
      </c>
      <c r="D8" s="2" t="s">
        <v>9</v>
      </c>
      <c r="E8" s="2" t="s">
        <v>9</v>
      </c>
      <c r="F8" s="2" t="s">
        <v>9</v>
      </c>
      <c r="G8" s="2" t="s">
        <v>9</v>
      </c>
      <c r="H8" s="2" t="s">
        <v>9</v>
      </c>
      <c r="I8" s="4" t="s">
        <v>141</v>
      </c>
      <c r="J8" s="13" t="s">
        <v>9</v>
      </c>
      <c r="K8" s="14"/>
      <c r="L8" s="13" t="s">
        <v>9</v>
      </c>
      <c r="M8" s="14"/>
      <c r="N8" s="16" t="s">
        <v>9</v>
      </c>
      <c r="O8" s="13" t="s">
        <v>52</v>
      </c>
      <c r="P8" s="13"/>
      <c r="Q8" s="16" t="s">
        <v>52</v>
      </c>
      <c r="R8" s="13" t="s">
        <v>9</v>
      </c>
      <c r="S8" s="14"/>
      <c r="T8" s="13" t="s">
        <v>52</v>
      </c>
      <c r="U8" s="14"/>
      <c r="V8" s="13" t="s">
        <v>52</v>
      </c>
      <c r="W8" s="14"/>
      <c r="X8" s="13" t="s">
        <v>9</v>
      </c>
      <c r="Y8" s="14"/>
      <c r="Z8" s="16" t="s">
        <v>52</v>
      </c>
      <c r="AA8" s="13" t="s">
        <v>9</v>
      </c>
      <c r="AB8" s="14"/>
      <c r="AC8" s="13" t="s">
        <v>52</v>
      </c>
      <c r="AD8" s="15"/>
      <c r="AE8" s="16" t="s">
        <v>52</v>
      </c>
      <c r="AF8" s="13" t="s">
        <v>9</v>
      </c>
      <c r="AG8" s="14"/>
      <c r="AH8" s="16" t="s">
        <v>9</v>
      </c>
      <c r="AI8" s="13"/>
      <c r="AJ8" s="13"/>
      <c r="AK8" s="13"/>
      <c r="AL8" s="13"/>
      <c r="AM8" s="13"/>
      <c r="AN8" s="13"/>
      <c r="AO8" s="16"/>
      <c r="AP8" s="17">
        <v>37</v>
      </c>
      <c r="AQ8" s="17">
        <v>0</v>
      </c>
      <c r="AR8" s="17">
        <v>0</v>
      </c>
      <c r="AS8" s="17">
        <v>0</v>
      </c>
      <c r="AT8" s="17">
        <v>4</v>
      </c>
    </row>
    <row r="9" spans="1:60" ht="180" x14ac:dyDescent="0.25">
      <c r="A9" s="2">
        <v>3</v>
      </c>
      <c r="B9" s="30" t="s">
        <v>99</v>
      </c>
      <c r="C9" s="2">
        <v>90553781</v>
      </c>
      <c r="D9" s="2" t="s">
        <v>9</v>
      </c>
      <c r="E9" s="2" t="s">
        <v>9</v>
      </c>
      <c r="F9" s="2" t="s">
        <v>9</v>
      </c>
      <c r="G9" s="2" t="s">
        <v>9</v>
      </c>
      <c r="H9" s="2" t="s">
        <v>9</v>
      </c>
      <c r="I9" s="4" t="s">
        <v>142</v>
      </c>
      <c r="J9" s="13" t="s">
        <v>9</v>
      </c>
      <c r="K9" s="14"/>
      <c r="L9" s="13" t="s">
        <v>9</v>
      </c>
      <c r="M9" s="14"/>
      <c r="N9" s="16" t="s">
        <v>9</v>
      </c>
      <c r="O9" s="13" t="s">
        <v>9</v>
      </c>
      <c r="P9" s="13"/>
      <c r="Q9" s="16" t="s">
        <v>9</v>
      </c>
      <c r="R9" s="13" t="s">
        <v>9</v>
      </c>
      <c r="S9" s="14"/>
      <c r="T9" s="13" t="s">
        <v>9</v>
      </c>
      <c r="U9" s="14"/>
      <c r="V9" s="13" t="s">
        <v>9</v>
      </c>
      <c r="W9" s="14"/>
      <c r="X9" s="13" t="s">
        <v>9</v>
      </c>
      <c r="Y9" s="14"/>
      <c r="Z9" s="16" t="s">
        <v>9</v>
      </c>
      <c r="AA9" s="13" t="s">
        <v>9</v>
      </c>
      <c r="AB9" s="14"/>
      <c r="AC9" s="13" t="s">
        <v>9</v>
      </c>
      <c r="AD9" s="15"/>
      <c r="AE9" s="16" t="s">
        <v>9</v>
      </c>
      <c r="AF9" s="13" t="s">
        <v>9</v>
      </c>
      <c r="AG9" s="14"/>
      <c r="AH9" s="16" t="s">
        <v>9</v>
      </c>
      <c r="AI9" s="13"/>
      <c r="AJ9" s="13"/>
      <c r="AK9" s="13"/>
      <c r="AL9" s="13"/>
      <c r="AM9" s="13"/>
      <c r="AN9" s="13"/>
      <c r="AO9" s="16"/>
      <c r="AP9" s="17">
        <v>36</v>
      </c>
      <c r="AQ9" s="17">
        <v>0</v>
      </c>
      <c r="AR9" s="17">
        <v>0</v>
      </c>
      <c r="AS9" s="17">
        <v>0</v>
      </c>
      <c r="AT9" s="17">
        <v>5</v>
      </c>
    </row>
    <row r="10" spans="1:60" ht="165" x14ac:dyDescent="0.25">
      <c r="A10" s="2">
        <v>4</v>
      </c>
      <c r="B10" s="30" t="s">
        <v>100</v>
      </c>
      <c r="C10" s="2">
        <v>90549776</v>
      </c>
      <c r="D10" s="2" t="s">
        <v>9</v>
      </c>
      <c r="E10" s="2" t="s">
        <v>9</v>
      </c>
      <c r="F10" s="2" t="s">
        <v>9</v>
      </c>
      <c r="G10" s="2" t="s">
        <v>9</v>
      </c>
      <c r="H10" s="2" t="s">
        <v>9</v>
      </c>
      <c r="I10" s="4" t="s">
        <v>143</v>
      </c>
      <c r="J10" s="13" t="s">
        <v>9</v>
      </c>
      <c r="K10" s="14"/>
      <c r="L10" s="13" t="s">
        <v>52</v>
      </c>
      <c r="M10" s="14"/>
      <c r="N10" s="16" t="s">
        <v>52</v>
      </c>
      <c r="O10" s="13" t="s">
        <v>9</v>
      </c>
      <c r="P10" s="13"/>
      <c r="Q10" s="16" t="s">
        <v>9</v>
      </c>
      <c r="R10" s="13" t="s">
        <v>52</v>
      </c>
      <c r="S10" s="14"/>
      <c r="T10" s="13" t="s">
        <v>52</v>
      </c>
      <c r="U10" s="14"/>
      <c r="V10" s="13" t="s">
        <v>52</v>
      </c>
      <c r="W10" s="14"/>
      <c r="X10" s="13" t="s">
        <v>9</v>
      </c>
      <c r="Y10" s="14"/>
      <c r="Z10" s="16" t="s">
        <v>52</v>
      </c>
      <c r="AA10" s="13" t="s">
        <v>52</v>
      </c>
      <c r="AB10" s="14"/>
      <c r="AC10" s="13" t="s">
        <v>9</v>
      </c>
      <c r="AD10" s="15"/>
      <c r="AE10" s="16" t="s">
        <v>52</v>
      </c>
      <c r="AF10" s="13" t="s">
        <v>9</v>
      </c>
      <c r="AG10" s="14"/>
      <c r="AH10" s="16" t="s">
        <v>9</v>
      </c>
      <c r="AI10" s="13"/>
      <c r="AJ10" s="13"/>
      <c r="AK10" s="13"/>
      <c r="AL10" s="13"/>
      <c r="AM10" s="13"/>
      <c r="AN10" s="13"/>
      <c r="AO10" s="16"/>
      <c r="AP10" s="17">
        <v>39</v>
      </c>
      <c r="AQ10" s="17">
        <v>0</v>
      </c>
      <c r="AR10" s="17">
        <v>0</v>
      </c>
      <c r="AS10" s="17">
        <v>0</v>
      </c>
      <c r="AT10" s="17">
        <v>2</v>
      </c>
    </row>
    <row r="11" spans="1:60" ht="120" x14ac:dyDescent="0.25">
      <c r="A11" s="2">
        <v>5</v>
      </c>
      <c r="B11" s="30" t="s">
        <v>101</v>
      </c>
      <c r="C11" s="2">
        <v>90549529</v>
      </c>
      <c r="D11" s="2" t="s">
        <v>52</v>
      </c>
      <c r="E11" s="2" t="s">
        <v>9</v>
      </c>
      <c r="F11" s="2" t="s">
        <v>9</v>
      </c>
      <c r="G11" s="2" t="s">
        <v>9</v>
      </c>
      <c r="H11" s="2" t="s">
        <v>9</v>
      </c>
      <c r="I11" s="4" t="s">
        <v>144</v>
      </c>
      <c r="J11" s="13" t="s">
        <v>9</v>
      </c>
      <c r="K11" s="14"/>
      <c r="L11" s="13" t="s">
        <v>9</v>
      </c>
      <c r="M11" s="14"/>
      <c r="N11" s="16" t="s">
        <v>9</v>
      </c>
      <c r="O11" s="13" t="s">
        <v>9</v>
      </c>
      <c r="P11" s="13"/>
      <c r="Q11" s="16" t="s">
        <v>9</v>
      </c>
      <c r="R11" s="13" t="s">
        <v>52</v>
      </c>
      <c r="S11" s="14"/>
      <c r="T11" s="13" t="s">
        <v>9</v>
      </c>
      <c r="U11" s="14"/>
      <c r="V11" s="13" t="s">
        <v>52</v>
      </c>
      <c r="W11" s="14"/>
      <c r="X11" s="13" t="s">
        <v>52</v>
      </c>
      <c r="Y11" s="14"/>
      <c r="Z11" s="16" t="s">
        <v>52</v>
      </c>
      <c r="AA11" s="13" t="s">
        <v>52</v>
      </c>
      <c r="AB11" s="14"/>
      <c r="AC11" s="13" t="s">
        <v>9</v>
      </c>
      <c r="AD11" s="15"/>
      <c r="AE11" s="16" t="s">
        <v>52</v>
      </c>
      <c r="AF11" s="13" t="s">
        <v>52</v>
      </c>
      <c r="AG11" s="14"/>
      <c r="AH11" s="16" t="s">
        <v>52</v>
      </c>
      <c r="AI11" s="13"/>
      <c r="AJ11" s="13"/>
      <c r="AK11" s="13"/>
      <c r="AL11" s="13"/>
      <c r="AM11" s="13"/>
      <c r="AN11" s="13"/>
      <c r="AO11" s="16"/>
      <c r="AP11" s="17">
        <v>26</v>
      </c>
      <c r="AQ11" s="17">
        <v>0</v>
      </c>
      <c r="AR11" s="17">
        <v>0</v>
      </c>
      <c r="AS11" s="17">
        <v>0</v>
      </c>
      <c r="AT11" s="17">
        <v>15</v>
      </c>
    </row>
    <row r="12" spans="1:60" ht="195" x14ac:dyDescent="0.25">
      <c r="A12" s="2">
        <v>6</v>
      </c>
      <c r="B12" s="30" t="s">
        <v>102</v>
      </c>
      <c r="C12" s="2">
        <v>90544159</v>
      </c>
      <c r="D12" s="2" t="s">
        <v>9</v>
      </c>
      <c r="E12" s="2" t="s">
        <v>9</v>
      </c>
      <c r="F12" s="2" t="s">
        <v>52</v>
      </c>
      <c r="G12" s="2" t="s">
        <v>9</v>
      </c>
      <c r="H12" s="2" t="s">
        <v>9</v>
      </c>
      <c r="I12" s="4" t="s">
        <v>145</v>
      </c>
      <c r="J12" s="13" t="s">
        <v>9</v>
      </c>
      <c r="K12" s="14"/>
      <c r="L12" s="13" t="s">
        <v>52</v>
      </c>
      <c r="M12" s="14"/>
      <c r="N12" s="16" t="s">
        <v>52</v>
      </c>
      <c r="O12" s="13" t="s">
        <v>52</v>
      </c>
      <c r="P12" s="13"/>
      <c r="Q12" s="16" t="s">
        <v>52</v>
      </c>
      <c r="R12" s="13" t="s">
        <v>52</v>
      </c>
      <c r="S12" s="14"/>
      <c r="T12" s="13" t="s">
        <v>52</v>
      </c>
      <c r="U12" s="14"/>
      <c r="V12" s="13" t="s">
        <v>52</v>
      </c>
      <c r="W12" s="14"/>
      <c r="X12" s="13" t="s">
        <v>9</v>
      </c>
      <c r="Y12" s="14"/>
      <c r="Z12" s="16" t="s">
        <v>52</v>
      </c>
      <c r="AA12" s="13" t="s">
        <v>9</v>
      </c>
      <c r="AB12" s="14"/>
      <c r="AC12" s="13" t="s">
        <v>9</v>
      </c>
      <c r="AD12" s="15"/>
      <c r="AE12" s="16" t="s">
        <v>9</v>
      </c>
      <c r="AF12" s="13" t="s">
        <v>52</v>
      </c>
      <c r="AG12" s="14"/>
      <c r="AH12" s="16" t="s">
        <v>52</v>
      </c>
      <c r="AI12" s="13"/>
      <c r="AJ12" s="13"/>
      <c r="AK12" s="13"/>
      <c r="AL12" s="13"/>
      <c r="AM12" s="13"/>
      <c r="AN12" s="13"/>
      <c r="AO12" s="16"/>
      <c r="AP12" s="17">
        <v>34</v>
      </c>
      <c r="AQ12" s="17">
        <v>0</v>
      </c>
      <c r="AR12" s="17">
        <v>0</v>
      </c>
      <c r="AS12" s="17">
        <v>0</v>
      </c>
      <c r="AT12" s="17">
        <v>7</v>
      </c>
    </row>
    <row r="13" spans="1:60" ht="150" x14ac:dyDescent="0.25">
      <c r="A13" s="2">
        <v>7</v>
      </c>
      <c r="B13" s="30" t="s">
        <v>103</v>
      </c>
      <c r="C13" s="2">
        <v>90733280</v>
      </c>
      <c r="D13" s="2" t="s">
        <v>52</v>
      </c>
      <c r="E13" s="2" t="s">
        <v>52</v>
      </c>
      <c r="F13" s="2" t="s">
        <v>52</v>
      </c>
      <c r="G13" s="2" t="s">
        <v>9</v>
      </c>
      <c r="H13" s="2" t="s">
        <v>9</v>
      </c>
      <c r="I13" s="4" t="s">
        <v>146</v>
      </c>
      <c r="J13" s="13" t="s">
        <v>9</v>
      </c>
      <c r="K13" s="14"/>
      <c r="L13" s="13" t="s">
        <v>9</v>
      </c>
      <c r="M13" s="14"/>
      <c r="N13" s="16" t="s">
        <v>9</v>
      </c>
      <c r="O13" s="13" t="s">
        <v>52</v>
      </c>
      <c r="P13" s="13"/>
      <c r="Q13" s="16" t="s">
        <v>52</v>
      </c>
      <c r="R13" s="13" t="s">
        <v>9</v>
      </c>
      <c r="S13" s="14"/>
      <c r="T13" s="13" t="s">
        <v>52</v>
      </c>
      <c r="U13" s="14"/>
      <c r="V13" s="13" t="s">
        <v>9</v>
      </c>
      <c r="W13" s="14"/>
      <c r="X13" s="13" t="s">
        <v>9</v>
      </c>
      <c r="Y13" s="14"/>
      <c r="Z13" s="16" t="s">
        <v>9</v>
      </c>
      <c r="AA13" s="13" t="s">
        <v>9</v>
      </c>
      <c r="AB13" s="14"/>
      <c r="AC13" s="13" t="s">
        <v>9</v>
      </c>
      <c r="AD13" s="15"/>
      <c r="AE13" s="16" t="s">
        <v>9</v>
      </c>
      <c r="AF13" s="13" t="s">
        <v>52</v>
      </c>
      <c r="AG13" s="14"/>
      <c r="AH13" s="16" t="s">
        <v>52</v>
      </c>
      <c r="AI13" s="13"/>
      <c r="AJ13" s="13"/>
      <c r="AK13" s="13"/>
      <c r="AL13" s="13"/>
      <c r="AM13" s="13"/>
      <c r="AN13" s="13"/>
      <c r="AO13" s="16"/>
      <c r="AP13" s="17">
        <v>32</v>
      </c>
      <c r="AQ13" s="17">
        <v>0</v>
      </c>
      <c r="AR13" s="17">
        <v>0</v>
      </c>
      <c r="AS13" s="17">
        <v>0</v>
      </c>
      <c r="AT13" s="17">
        <v>9</v>
      </c>
    </row>
    <row r="14" spans="1:60" ht="165" x14ac:dyDescent="0.25">
      <c r="A14" s="2">
        <v>8</v>
      </c>
      <c r="B14" s="30" t="s">
        <v>104</v>
      </c>
      <c r="C14" s="2">
        <v>90711756</v>
      </c>
      <c r="D14" s="2" t="s">
        <v>52</v>
      </c>
      <c r="E14" s="2" t="s">
        <v>9</v>
      </c>
      <c r="F14" s="2" t="s">
        <v>9</v>
      </c>
      <c r="G14" s="2" t="s">
        <v>9</v>
      </c>
      <c r="H14" s="2" t="s">
        <v>9</v>
      </c>
      <c r="I14" s="4" t="s">
        <v>147</v>
      </c>
      <c r="J14" s="13" t="s">
        <v>52</v>
      </c>
      <c r="K14" s="14"/>
      <c r="L14" s="13" t="s">
        <v>52</v>
      </c>
      <c r="M14" s="14"/>
      <c r="N14" s="16" t="s">
        <v>52</v>
      </c>
      <c r="O14" s="13" t="s">
        <v>52</v>
      </c>
      <c r="P14" s="13"/>
      <c r="Q14" s="16" t="s">
        <v>52</v>
      </c>
      <c r="R14" s="13" t="s">
        <v>52</v>
      </c>
      <c r="S14" s="14"/>
      <c r="T14" s="13" t="s">
        <v>52</v>
      </c>
      <c r="U14" s="14"/>
      <c r="V14" s="13" t="s">
        <v>52</v>
      </c>
      <c r="W14" s="14"/>
      <c r="X14" s="13" t="s">
        <v>52</v>
      </c>
      <c r="Y14" s="14"/>
      <c r="Z14" s="16" t="s">
        <v>52</v>
      </c>
      <c r="AA14" s="13" t="s">
        <v>52</v>
      </c>
      <c r="AB14" s="14"/>
      <c r="AC14" s="13" t="s">
        <v>52</v>
      </c>
      <c r="AD14" s="15"/>
      <c r="AE14" s="16" t="s">
        <v>52</v>
      </c>
      <c r="AF14" s="13" t="s">
        <v>52</v>
      </c>
      <c r="AG14" s="14"/>
      <c r="AH14" s="16" t="s">
        <v>52</v>
      </c>
      <c r="AI14" s="13"/>
      <c r="AJ14" s="13"/>
      <c r="AK14" s="13"/>
      <c r="AL14" s="13"/>
      <c r="AM14" s="13"/>
      <c r="AN14" s="13"/>
      <c r="AO14" s="16"/>
      <c r="AP14" s="17">
        <v>28</v>
      </c>
      <c r="AQ14" s="17">
        <v>0</v>
      </c>
      <c r="AR14" s="17">
        <v>0</v>
      </c>
      <c r="AS14" s="17">
        <v>0</v>
      </c>
      <c r="AT14" s="17">
        <v>13</v>
      </c>
    </row>
    <row r="15" spans="1:60" ht="120" x14ac:dyDescent="0.25">
      <c r="A15" s="2">
        <v>9</v>
      </c>
      <c r="B15" s="30" t="s">
        <v>105</v>
      </c>
      <c r="C15" s="2">
        <v>90622324</v>
      </c>
      <c r="D15" s="2" t="s">
        <v>9</v>
      </c>
      <c r="E15" s="2" t="s">
        <v>9</v>
      </c>
      <c r="F15" s="2" t="s">
        <v>9</v>
      </c>
      <c r="G15" s="2" t="s">
        <v>9</v>
      </c>
      <c r="H15" s="2" t="s">
        <v>9</v>
      </c>
      <c r="I15" s="4" t="s">
        <v>148</v>
      </c>
      <c r="J15" s="13" t="s">
        <v>9</v>
      </c>
      <c r="K15" s="14"/>
      <c r="L15" s="13" t="s">
        <v>9</v>
      </c>
      <c r="M15" s="14"/>
      <c r="N15" s="16" t="s">
        <v>9</v>
      </c>
      <c r="O15" s="13" t="s">
        <v>9</v>
      </c>
      <c r="P15" s="13"/>
      <c r="Q15" s="16" t="s">
        <v>9</v>
      </c>
      <c r="R15" s="13" t="s">
        <v>9</v>
      </c>
      <c r="S15" s="14"/>
      <c r="T15" s="13" t="s">
        <v>9</v>
      </c>
      <c r="U15" s="14"/>
      <c r="V15" s="13" t="s">
        <v>52</v>
      </c>
      <c r="W15" s="14"/>
      <c r="X15" s="13" t="s">
        <v>9</v>
      </c>
      <c r="Y15" s="14"/>
      <c r="Z15" s="16" t="s">
        <v>9</v>
      </c>
      <c r="AA15" s="13" t="s">
        <v>9</v>
      </c>
      <c r="AB15" s="14"/>
      <c r="AC15" s="13" t="s">
        <v>52</v>
      </c>
      <c r="AD15" s="15"/>
      <c r="AE15" s="16" t="s">
        <v>52</v>
      </c>
      <c r="AF15" s="13" t="s">
        <v>9</v>
      </c>
      <c r="AG15" s="14"/>
      <c r="AH15" s="16" t="s">
        <v>9</v>
      </c>
      <c r="AI15" s="13"/>
      <c r="AJ15" s="13"/>
      <c r="AK15" s="13"/>
      <c r="AL15" s="13"/>
      <c r="AM15" s="13"/>
      <c r="AN15" s="13"/>
      <c r="AO15" s="16"/>
      <c r="AP15" s="17">
        <v>30</v>
      </c>
      <c r="AQ15" s="17">
        <v>0</v>
      </c>
      <c r="AR15" s="17">
        <v>0</v>
      </c>
      <c r="AS15" s="17">
        <v>0</v>
      </c>
      <c r="AT15" s="17">
        <v>11</v>
      </c>
    </row>
    <row r="16" spans="1:60" ht="150" x14ac:dyDescent="0.25">
      <c r="A16" s="2">
        <v>10</v>
      </c>
      <c r="B16" s="30" t="s">
        <v>106</v>
      </c>
      <c r="C16" s="2">
        <v>90638291</v>
      </c>
      <c r="D16" s="2" t="s">
        <v>9</v>
      </c>
      <c r="E16" s="2" t="s">
        <v>9</v>
      </c>
      <c r="F16" s="2" t="s">
        <v>9</v>
      </c>
      <c r="G16" s="2" t="s">
        <v>9</v>
      </c>
      <c r="H16" s="2" t="s">
        <v>9</v>
      </c>
      <c r="I16" s="4" t="s">
        <v>149</v>
      </c>
      <c r="J16" s="13" t="s">
        <v>9</v>
      </c>
      <c r="K16" s="14"/>
      <c r="L16" s="13" t="s">
        <v>9</v>
      </c>
      <c r="M16" s="14"/>
      <c r="N16" s="16" t="s">
        <v>9</v>
      </c>
      <c r="O16" s="13" t="s">
        <v>9</v>
      </c>
      <c r="P16" s="13"/>
      <c r="Q16" s="16" t="s">
        <v>9</v>
      </c>
      <c r="R16" s="13" t="s">
        <v>9</v>
      </c>
      <c r="S16" s="14"/>
      <c r="T16" s="13" t="s">
        <v>9</v>
      </c>
      <c r="U16" s="14"/>
      <c r="V16" s="13" t="s">
        <v>9</v>
      </c>
      <c r="W16" s="14"/>
      <c r="X16" s="13" t="s">
        <v>9</v>
      </c>
      <c r="Y16" s="14"/>
      <c r="Z16" s="16" t="s">
        <v>9</v>
      </c>
      <c r="AA16" s="13" t="s">
        <v>9</v>
      </c>
      <c r="AB16" s="14"/>
      <c r="AC16" s="13" t="s">
        <v>9</v>
      </c>
      <c r="AD16" s="15"/>
      <c r="AE16" s="16" t="s">
        <v>9</v>
      </c>
      <c r="AF16" s="13" t="s">
        <v>9</v>
      </c>
      <c r="AG16" s="14"/>
      <c r="AH16" s="16" t="s">
        <v>9</v>
      </c>
      <c r="AI16" s="13"/>
      <c r="AJ16" s="13"/>
      <c r="AK16" s="13"/>
      <c r="AL16" s="13"/>
      <c r="AM16" s="13"/>
      <c r="AN16" s="13"/>
      <c r="AO16" s="16"/>
      <c r="AP16" s="17">
        <v>41</v>
      </c>
      <c r="AQ16" s="17">
        <v>0</v>
      </c>
      <c r="AR16" s="17">
        <v>0</v>
      </c>
      <c r="AS16" s="17">
        <v>0</v>
      </c>
      <c r="AT16" s="17">
        <v>0</v>
      </c>
    </row>
    <row r="17" spans="1:46" ht="180" x14ac:dyDescent="0.25">
      <c r="A17" s="2">
        <v>11</v>
      </c>
      <c r="B17" s="30" t="s">
        <v>107</v>
      </c>
      <c r="C17" s="2">
        <v>90948003</v>
      </c>
      <c r="D17" s="2" t="s">
        <v>9</v>
      </c>
      <c r="E17" s="2" t="s">
        <v>52</v>
      </c>
      <c r="F17" s="2" t="s">
        <v>52</v>
      </c>
      <c r="G17" s="2" t="s">
        <v>9</v>
      </c>
      <c r="H17" s="2" t="s">
        <v>9</v>
      </c>
      <c r="I17" s="4" t="s">
        <v>150</v>
      </c>
      <c r="J17" s="13" t="s">
        <v>9</v>
      </c>
      <c r="K17" s="14"/>
      <c r="L17" s="13" t="s">
        <v>52</v>
      </c>
      <c r="M17" s="14"/>
      <c r="N17" s="16" t="s">
        <v>52</v>
      </c>
      <c r="O17" s="13" t="s">
        <v>52</v>
      </c>
      <c r="P17" s="13"/>
      <c r="Q17" s="16" t="s">
        <v>52</v>
      </c>
      <c r="R17" s="13" t="s">
        <v>52</v>
      </c>
      <c r="S17" s="14"/>
      <c r="T17" s="13" t="s">
        <v>52</v>
      </c>
      <c r="U17" s="14"/>
      <c r="V17" s="13" t="s">
        <v>52</v>
      </c>
      <c r="W17" s="14"/>
      <c r="X17" s="13" t="s">
        <v>9</v>
      </c>
      <c r="Y17" s="14"/>
      <c r="Z17" s="16" t="s">
        <v>52</v>
      </c>
      <c r="AA17" s="13" t="s">
        <v>52</v>
      </c>
      <c r="AB17" s="14"/>
      <c r="AC17" s="13" t="s">
        <v>52</v>
      </c>
      <c r="AD17" s="15"/>
      <c r="AE17" s="16" t="s">
        <v>52</v>
      </c>
      <c r="AF17" s="13" t="s">
        <v>52</v>
      </c>
      <c r="AG17" s="14"/>
      <c r="AH17" s="16" t="s">
        <v>52</v>
      </c>
      <c r="AI17" s="13"/>
      <c r="AJ17" s="13"/>
      <c r="AK17" s="13"/>
      <c r="AL17" s="13"/>
      <c r="AM17" s="13"/>
      <c r="AN17" s="13"/>
      <c r="AO17" s="16"/>
      <c r="AP17" s="17">
        <v>33</v>
      </c>
      <c r="AQ17" s="17">
        <v>0</v>
      </c>
      <c r="AR17" s="17">
        <v>0</v>
      </c>
      <c r="AS17" s="17">
        <v>0</v>
      </c>
      <c r="AT17" s="17">
        <v>8</v>
      </c>
    </row>
    <row r="18" spans="1:46" ht="135" x14ac:dyDescent="0.25">
      <c r="A18" s="2">
        <v>12</v>
      </c>
      <c r="B18" s="30" t="s">
        <v>108</v>
      </c>
      <c r="C18" s="2">
        <v>90176103</v>
      </c>
      <c r="D18" s="2" t="s">
        <v>9</v>
      </c>
      <c r="E18" s="2" t="s">
        <v>9</v>
      </c>
      <c r="F18" s="2" t="s">
        <v>9</v>
      </c>
      <c r="G18" s="2" t="s">
        <v>9</v>
      </c>
      <c r="H18" s="2" t="s">
        <v>9</v>
      </c>
      <c r="I18" s="4" t="s">
        <v>151</v>
      </c>
      <c r="J18" s="13" t="s">
        <v>9</v>
      </c>
      <c r="K18" s="14"/>
      <c r="L18" s="13" t="s">
        <v>9</v>
      </c>
      <c r="M18" s="14"/>
      <c r="N18" s="16" t="s">
        <v>9</v>
      </c>
      <c r="O18" s="13" t="s">
        <v>9</v>
      </c>
      <c r="P18" s="13"/>
      <c r="Q18" s="16" t="s">
        <v>9</v>
      </c>
      <c r="R18" s="13" t="s">
        <v>9</v>
      </c>
      <c r="S18" s="14"/>
      <c r="T18" s="13" t="s">
        <v>9</v>
      </c>
      <c r="U18" s="14"/>
      <c r="V18" s="13" t="s">
        <v>9</v>
      </c>
      <c r="W18" s="14"/>
      <c r="X18" s="13" t="s">
        <v>9</v>
      </c>
      <c r="Y18" s="14"/>
      <c r="Z18" s="16" t="s">
        <v>9</v>
      </c>
      <c r="AA18" s="13" t="s">
        <v>9</v>
      </c>
      <c r="AB18" s="14"/>
      <c r="AC18" s="13" t="s">
        <v>9</v>
      </c>
      <c r="AD18" s="15"/>
      <c r="AE18" s="16" t="s">
        <v>9</v>
      </c>
      <c r="AF18" s="13" t="s">
        <v>9</v>
      </c>
      <c r="AG18" s="14"/>
      <c r="AH18" s="16" t="s">
        <v>9</v>
      </c>
      <c r="AI18" s="13"/>
      <c r="AJ18" s="13"/>
      <c r="AK18" s="13"/>
      <c r="AL18" s="13"/>
      <c r="AM18" s="13"/>
      <c r="AN18" s="13"/>
      <c r="AO18" s="16"/>
      <c r="AP18" s="17">
        <v>34</v>
      </c>
      <c r="AQ18" s="17">
        <v>0</v>
      </c>
      <c r="AR18" s="17">
        <v>0</v>
      </c>
      <c r="AS18" s="17">
        <v>0</v>
      </c>
      <c r="AT18" s="17">
        <v>7</v>
      </c>
    </row>
    <row r="19" spans="1:46" ht="135" x14ac:dyDescent="0.25">
      <c r="A19" s="2">
        <v>13</v>
      </c>
      <c r="B19" s="30" t="s">
        <v>109</v>
      </c>
      <c r="C19" s="2">
        <v>90334943</v>
      </c>
      <c r="D19" s="2" t="s">
        <v>52</v>
      </c>
      <c r="E19" s="2" t="s">
        <v>9</v>
      </c>
      <c r="F19" s="2" t="s">
        <v>52</v>
      </c>
      <c r="G19" s="2" t="s">
        <v>9</v>
      </c>
      <c r="H19" s="2" t="s">
        <v>9</v>
      </c>
      <c r="I19" s="4" t="s">
        <v>152</v>
      </c>
      <c r="J19" s="13" t="s">
        <v>9</v>
      </c>
      <c r="K19" s="14"/>
      <c r="L19" s="13" t="s">
        <v>9</v>
      </c>
      <c r="M19" s="14"/>
      <c r="N19" s="16" t="s">
        <v>9</v>
      </c>
      <c r="O19" s="13" t="s">
        <v>9</v>
      </c>
      <c r="P19" s="13"/>
      <c r="Q19" s="16" t="s">
        <v>9</v>
      </c>
      <c r="R19" s="13" t="s">
        <v>9</v>
      </c>
      <c r="S19" s="14"/>
      <c r="T19" s="13" t="s">
        <v>9</v>
      </c>
      <c r="U19" s="14"/>
      <c r="V19" s="13" t="s">
        <v>9</v>
      </c>
      <c r="W19" s="14"/>
      <c r="X19" s="13" t="s">
        <v>9</v>
      </c>
      <c r="Y19" s="14"/>
      <c r="Z19" s="16" t="s">
        <v>9</v>
      </c>
      <c r="AA19" s="13" t="s">
        <v>9</v>
      </c>
      <c r="AB19" s="14"/>
      <c r="AC19" s="13" t="s">
        <v>9</v>
      </c>
      <c r="AD19" s="15"/>
      <c r="AE19" s="16" t="s">
        <v>9</v>
      </c>
      <c r="AF19" s="13" t="s">
        <v>9</v>
      </c>
      <c r="AG19" s="14"/>
      <c r="AH19" s="16" t="s">
        <v>9</v>
      </c>
      <c r="AI19" s="13"/>
      <c r="AJ19" s="13"/>
      <c r="AK19" s="13"/>
      <c r="AL19" s="13"/>
      <c r="AM19" s="13"/>
      <c r="AN19" s="13"/>
      <c r="AO19" s="16"/>
      <c r="AP19" s="17">
        <v>26</v>
      </c>
      <c r="AQ19" s="17">
        <v>0</v>
      </c>
      <c r="AR19" s="17">
        <v>0</v>
      </c>
      <c r="AS19" s="17">
        <v>0</v>
      </c>
      <c r="AT19" s="17">
        <v>15</v>
      </c>
    </row>
    <row r="20" spans="1:46" ht="150" x14ac:dyDescent="0.25">
      <c r="A20" s="2">
        <v>14</v>
      </c>
      <c r="B20" s="30" t="s">
        <v>110</v>
      </c>
      <c r="C20" s="2">
        <v>90711556</v>
      </c>
      <c r="D20" s="2" t="s">
        <v>9</v>
      </c>
      <c r="E20" s="2" t="s">
        <v>9</v>
      </c>
      <c r="F20" s="2" t="s">
        <v>52</v>
      </c>
      <c r="G20" s="2" t="s">
        <v>9</v>
      </c>
      <c r="H20" s="2" t="s">
        <v>9</v>
      </c>
      <c r="I20" s="4" t="s">
        <v>153</v>
      </c>
      <c r="J20" s="13" t="s">
        <v>9</v>
      </c>
      <c r="K20" s="14"/>
      <c r="L20" s="13" t="s">
        <v>9</v>
      </c>
      <c r="M20" s="14"/>
      <c r="N20" s="16" t="s">
        <v>9</v>
      </c>
      <c r="O20" s="13" t="s">
        <v>9</v>
      </c>
      <c r="P20" s="13"/>
      <c r="Q20" s="16" t="s">
        <v>9</v>
      </c>
      <c r="R20" s="13" t="s">
        <v>9</v>
      </c>
      <c r="S20" s="14"/>
      <c r="T20" s="13" t="s">
        <v>52</v>
      </c>
      <c r="U20" s="14"/>
      <c r="V20" s="13" t="s">
        <v>52</v>
      </c>
      <c r="W20" s="14"/>
      <c r="X20" s="13" t="s">
        <v>9</v>
      </c>
      <c r="Y20" s="14"/>
      <c r="Z20" s="16" t="s">
        <v>52</v>
      </c>
      <c r="AA20" s="13" t="s">
        <v>52</v>
      </c>
      <c r="AB20" s="14"/>
      <c r="AC20" s="13" t="s">
        <v>9</v>
      </c>
      <c r="AD20" s="15"/>
      <c r="AE20" s="16" t="s">
        <v>52</v>
      </c>
      <c r="AF20" s="13" t="s">
        <v>52</v>
      </c>
      <c r="AG20" s="14"/>
      <c r="AH20" s="16" t="s">
        <v>52</v>
      </c>
      <c r="AI20" s="13"/>
      <c r="AJ20" s="13"/>
      <c r="AK20" s="13"/>
      <c r="AL20" s="13"/>
      <c r="AM20" s="13"/>
      <c r="AN20" s="13"/>
      <c r="AO20" s="16"/>
      <c r="AP20" s="17">
        <v>38</v>
      </c>
      <c r="AQ20" s="17">
        <v>0</v>
      </c>
      <c r="AR20" s="17">
        <v>0</v>
      </c>
      <c r="AS20" s="17">
        <v>0</v>
      </c>
      <c r="AT20" s="17">
        <v>2</v>
      </c>
    </row>
    <row r="21" spans="1:46" ht="150" x14ac:dyDescent="0.25">
      <c r="A21" s="2">
        <v>15</v>
      </c>
      <c r="B21" s="30" t="s">
        <v>111</v>
      </c>
      <c r="C21" s="2">
        <v>90361940</v>
      </c>
      <c r="D21" s="2" t="s">
        <v>9</v>
      </c>
      <c r="E21" s="2" t="s">
        <v>9</v>
      </c>
      <c r="F21" s="2" t="s">
        <v>9</v>
      </c>
      <c r="G21" s="2" t="s">
        <v>9</v>
      </c>
      <c r="H21" s="2" t="s">
        <v>9</v>
      </c>
      <c r="I21" s="4" t="s">
        <v>154</v>
      </c>
      <c r="J21" s="13" t="s">
        <v>9</v>
      </c>
      <c r="K21" s="14"/>
      <c r="L21" s="13" t="s">
        <v>9</v>
      </c>
      <c r="M21" s="14"/>
      <c r="N21" s="16" t="s">
        <v>9</v>
      </c>
      <c r="O21" s="13" t="s">
        <v>9</v>
      </c>
      <c r="P21" s="13"/>
      <c r="Q21" s="16" t="s">
        <v>9</v>
      </c>
      <c r="R21" s="13" t="s">
        <v>9</v>
      </c>
      <c r="S21" s="14"/>
      <c r="T21" s="13" t="s">
        <v>9</v>
      </c>
      <c r="U21" s="14"/>
      <c r="V21" s="13" t="s">
        <v>9</v>
      </c>
      <c r="W21" s="14"/>
      <c r="X21" s="13" t="s">
        <v>9</v>
      </c>
      <c r="Y21" s="14"/>
      <c r="Z21" s="16" t="s">
        <v>9</v>
      </c>
      <c r="AA21" s="13" t="s">
        <v>9</v>
      </c>
      <c r="AB21" s="14"/>
      <c r="AC21" s="13" t="s">
        <v>9</v>
      </c>
      <c r="AD21" s="15"/>
      <c r="AE21" s="16" t="s">
        <v>9</v>
      </c>
      <c r="AF21" s="13" t="s">
        <v>9</v>
      </c>
      <c r="AG21" s="14"/>
      <c r="AH21" s="16" t="s">
        <v>9</v>
      </c>
      <c r="AI21" s="13"/>
      <c r="AJ21" s="13"/>
      <c r="AK21" s="13"/>
      <c r="AL21" s="13"/>
      <c r="AM21" s="13"/>
      <c r="AN21" s="13"/>
      <c r="AO21" s="16"/>
      <c r="AP21" s="17">
        <v>36</v>
      </c>
      <c r="AQ21" s="17">
        <v>0</v>
      </c>
      <c r="AR21" s="17">
        <v>0</v>
      </c>
      <c r="AS21" s="17">
        <v>0</v>
      </c>
      <c r="AT21" s="17">
        <v>5</v>
      </c>
    </row>
    <row r="22" spans="1:46" ht="210" x14ac:dyDescent="0.25">
      <c r="A22" s="2">
        <v>16</v>
      </c>
      <c r="B22" s="30" t="s">
        <v>112</v>
      </c>
      <c r="C22" s="2">
        <v>90535444</v>
      </c>
      <c r="D22" s="2" t="s">
        <v>9</v>
      </c>
      <c r="E22" s="2" t="s">
        <v>9</v>
      </c>
      <c r="F22" s="2" t="s">
        <v>9</v>
      </c>
      <c r="G22" s="2" t="s">
        <v>9</v>
      </c>
      <c r="H22" s="2" t="s">
        <v>9</v>
      </c>
      <c r="I22" s="4" t="s">
        <v>155</v>
      </c>
      <c r="J22" s="13" t="s">
        <v>9</v>
      </c>
      <c r="K22" s="14"/>
      <c r="L22" s="13" t="s">
        <v>9</v>
      </c>
      <c r="M22" s="14"/>
      <c r="N22" s="16" t="s">
        <v>9</v>
      </c>
      <c r="O22" s="13" t="s">
        <v>9</v>
      </c>
      <c r="P22" s="13"/>
      <c r="Q22" s="16" t="s">
        <v>9</v>
      </c>
      <c r="R22" s="13" t="s">
        <v>9</v>
      </c>
      <c r="S22" s="14"/>
      <c r="T22" s="13" t="s">
        <v>52</v>
      </c>
      <c r="U22" s="14"/>
      <c r="V22" s="13" t="s">
        <v>9</v>
      </c>
      <c r="W22" s="14"/>
      <c r="X22" s="13" t="s">
        <v>52</v>
      </c>
      <c r="Y22" s="14"/>
      <c r="Z22" s="16" t="s">
        <v>52</v>
      </c>
      <c r="AA22" s="13" t="s">
        <v>9</v>
      </c>
      <c r="AB22" s="14"/>
      <c r="AC22" s="13" t="s">
        <v>9</v>
      </c>
      <c r="AD22" s="15"/>
      <c r="AE22" s="16" t="s">
        <v>9</v>
      </c>
      <c r="AF22" s="13" t="s">
        <v>9</v>
      </c>
      <c r="AG22" s="14"/>
      <c r="AH22" s="16" t="s">
        <v>9</v>
      </c>
      <c r="AI22" s="13"/>
      <c r="AJ22" s="13"/>
      <c r="AK22" s="13"/>
      <c r="AL22" s="13"/>
      <c r="AM22" s="13"/>
      <c r="AN22" s="13"/>
      <c r="AO22" s="16"/>
      <c r="AP22" s="17">
        <v>31</v>
      </c>
      <c r="AQ22" s="17">
        <v>0</v>
      </c>
      <c r="AR22" s="17">
        <v>0</v>
      </c>
      <c r="AS22" s="17">
        <v>0</v>
      </c>
      <c r="AT22" s="17">
        <v>10</v>
      </c>
    </row>
    <row r="23" spans="1:46" ht="165" x14ac:dyDescent="0.25">
      <c r="A23" s="2">
        <v>17</v>
      </c>
      <c r="B23" s="30" t="s">
        <v>113</v>
      </c>
      <c r="C23" s="2">
        <v>90337746</v>
      </c>
      <c r="D23" s="2" t="s">
        <v>52</v>
      </c>
      <c r="E23" s="2" t="s">
        <v>52</v>
      </c>
      <c r="F23" s="2" t="s">
        <v>9</v>
      </c>
      <c r="G23" s="2" t="s">
        <v>9</v>
      </c>
      <c r="H23" s="2" t="s">
        <v>9</v>
      </c>
      <c r="I23" s="4" t="s">
        <v>156</v>
      </c>
      <c r="J23" s="13" t="s">
        <v>9</v>
      </c>
      <c r="K23" s="14"/>
      <c r="L23" s="13" t="s">
        <v>9</v>
      </c>
      <c r="M23" s="14"/>
      <c r="N23" s="16" t="s">
        <v>9</v>
      </c>
      <c r="O23" s="13" t="s">
        <v>9</v>
      </c>
      <c r="P23" s="13"/>
      <c r="Q23" s="16" t="s">
        <v>9</v>
      </c>
      <c r="R23" s="13" t="s">
        <v>9</v>
      </c>
      <c r="S23" s="14"/>
      <c r="T23" s="13" t="s">
        <v>9</v>
      </c>
      <c r="U23" s="14"/>
      <c r="V23" s="13" t="s">
        <v>9</v>
      </c>
      <c r="W23" s="14"/>
      <c r="X23" s="13" t="s">
        <v>9</v>
      </c>
      <c r="Y23" s="14"/>
      <c r="Z23" s="16" t="s">
        <v>9</v>
      </c>
      <c r="AA23" s="13" t="s">
        <v>9</v>
      </c>
      <c r="AB23" s="14"/>
      <c r="AC23" s="13" t="s">
        <v>52</v>
      </c>
      <c r="AD23" s="15"/>
      <c r="AE23" s="16" t="s">
        <v>52</v>
      </c>
      <c r="AF23" s="13" t="s">
        <v>9</v>
      </c>
      <c r="AG23" s="14"/>
      <c r="AH23" s="16" t="s">
        <v>9</v>
      </c>
      <c r="AI23" s="13"/>
      <c r="AJ23" s="13"/>
      <c r="AK23" s="13"/>
      <c r="AL23" s="13"/>
      <c r="AM23" s="13"/>
      <c r="AN23" s="13"/>
      <c r="AO23" s="16"/>
      <c r="AP23" s="17">
        <v>29</v>
      </c>
      <c r="AQ23" s="17">
        <v>0</v>
      </c>
      <c r="AR23" s="17">
        <v>0</v>
      </c>
      <c r="AS23" s="17">
        <v>0</v>
      </c>
      <c r="AT23" s="17">
        <v>12</v>
      </c>
    </row>
    <row r="24" spans="1:46" ht="165" x14ac:dyDescent="0.25">
      <c r="A24" s="2">
        <v>18</v>
      </c>
      <c r="B24" s="30" t="s">
        <v>114</v>
      </c>
      <c r="C24" s="2">
        <v>90568545</v>
      </c>
      <c r="D24" s="2" t="s">
        <v>52</v>
      </c>
      <c r="E24" s="2" t="s">
        <v>52</v>
      </c>
      <c r="F24" s="2" t="s">
        <v>52</v>
      </c>
      <c r="G24" s="2" t="s">
        <v>9</v>
      </c>
      <c r="H24" s="2" t="s">
        <v>9</v>
      </c>
      <c r="I24" s="4" t="s">
        <v>157</v>
      </c>
      <c r="J24" s="13" t="s">
        <v>9</v>
      </c>
      <c r="K24" s="14"/>
      <c r="L24" s="13" t="s">
        <v>9</v>
      </c>
      <c r="M24" s="14"/>
      <c r="N24" s="16" t="s">
        <v>9</v>
      </c>
      <c r="O24" s="13" t="s">
        <v>52</v>
      </c>
      <c r="P24" s="13"/>
      <c r="Q24" s="16" t="s">
        <v>52</v>
      </c>
      <c r="R24" s="13" t="s">
        <v>9</v>
      </c>
      <c r="S24" s="14"/>
      <c r="T24" s="13" t="s">
        <v>9</v>
      </c>
      <c r="U24" s="14"/>
      <c r="V24" s="13" t="s">
        <v>52</v>
      </c>
      <c r="W24" s="14"/>
      <c r="X24" s="13" t="s">
        <v>9</v>
      </c>
      <c r="Y24" s="14"/>
      <c r="Z24" s="16" t="s">
        <v>9</v>
      </c>
      <c r="AA24" s="13" t="s">
        <v>9</v>
      </c>
      <c r="AB24" s="14"/>
      <c r="AC24" s="13" t="s">
        <v>9</v>
      </c>
      <c r="AD24" s="15"/>
      <c r="AE24" s="16" t="s">
        <v>9</v>
      </c>
      <c r="AF24" s="13" t="s">
        <v>9</v>
      </c>
      <c r="AG24" s="14"/>
      <c r="AH24" s="16" t="s">
        <v>9</v>
      </c>
      <c r="AI24" s="13"/>
      <c r="AJ24" s="13"/>
      <c r="AK24" s="13"/>
      <c r="AL24" s="13"/>
      <c r="AM24" s="13"/>
      <c r="AN24" s="13"/>
      <c r="AO24" s="16"/>
      <c r="AP24" s="17">
        <v>34</v>
      </c>
      <c r="AQ24" s="17">
        <v>0</v>
      </c>
      <c r="AR24" s="17">
        <v>0</v>
      </c>
      <c r="AS24" s="17">
        <v>0</v>
      </c>
      <c r="AT24" s="17">
        <v>7</v>
      </c>
    </row>
    <row r="25" spans="1:46" ht="165" x14ac:dyDescent="0.25">
      <c r="A25" s="2">
        <v>19</v>
      </c>
      <c r="B25" s="30" t="s">
        <v>115</v>
      </c>
      <c r="C25" s="2">
        <v>90512463</v>
      </c>
      <c r="D25" s="2" t="s">
        <v>9</v>
      </c>
      <c r="E25" s="2" t="s">
        <v>9</v>
      </c>
      <c r="F25" s="2" t="s">
        <v>9</v>
      </c>
      <c r="G25" s="2" t="s">
        <v>52</v>
      </c>
      <c r="H25" s="2" t="s">
        <v>9</v>
      </c>
      <c r="I25" s="4" t="s">
        <v>158</v>
      </c>
      <c r="J25" s="13" t="s">
        <v>9</v>
      </c>
      <c r="K25" s="14"/>
      <c r="L25" s="13" t="s">
        <v>9</v>
      </c>
      <c r="M25" s="14"/>
      <c r="N25" s="16" t="s">
        <v>9</v>
      </c>
      <c r="O25" s="13" t="s">
        <v>9</v>
      </c>
      <c r="P25" s="13"/>
      <c r="Q25" s="16" t="s">
        <v>9</v>
      </c>
      <c r="R25" s="13" t="s">
        <v>9</v>
      </c>
      <c r="S25" s="14"/>
      <c r="T25" s="13" t="s">
        <v>9</v>
      </c>
      <c r="U25" s="14"/>
      <c r="V25" s="13" t="s">
        <v>9</v>
      </c>
      <c r="W25" s="14"/>
      <c r="X25" s="13" t="s">
        <v>9</v>
      </c>
      <c r="Y25" s="14"/>
      <c r="Z25" s="16" t="s">
        <v>9</v>
      </c>
      <c r="AA25" s="13" t="s">
        <v>9</v>
      </c>
      <c r="AB25" s="14"/>
      <c r="AC25" s="13" t="s">
        <v>52</v>
      </c>
      <c r="AD25" s="15"/>
      <c r="AE25" s="16" t="s">
        <v>52</v>
      </c>
      <c r="AF25" s="13" t="s">
        <v>9</v>
      </c>
      <c r="AG25" s="14"/>
      <c r="AH25" s="16" t="s">
        <v>9</v>
      </c>
      <c r="AI25" s="13"/>
      <c r="AJ25" s="13"/>
      <c r="AK25" s="13"/>
      <c r="AL25" s="13"/>
      <c r="AM25" s="13"/>
      <c r="AN25" s="13"/>
      <c r="AO25" s="16"/>
      <c r="AP25" s="17">
        <v>40</v>
      </c>
      <c r="AQ25" s="17">
        <v>0</v>
      </c>
      <c r="AR25" s="17">
        <v>0</v>
      </c>
      <c r="AS25" s="17">
        <v>0</v>
      </c>
      <c r="AT25" s="17">
        <v>1</v>
      </c>
    </row>
    <row r="26" spans="1:46" ht="180" x14ac:dyDescent="0.25">
      <c r="A26" s="2">
        <v>20</v>
      </c>
      <c r="B26" s="30" t="s">
        <v>116</v>
      </c>
      <c r="C26" s="2">
        <v>90465983</v>
      </c>
      <c r="D26" s="2" t="s">
        <v>9</v>
      </c>
      <c r="E26" s="2" t="s">
        <v>9</v>
      </c>
      <c r="F26" s="2" t="s">
        <v>52</v>
      </c>
      <c r="G26" s="2" t="s">
        <v>9</v>
      </c>
      <c r="H26" s="2" t="s">
        <v>9</v>
      </c>
      <c r="I26" s="4" t="s">
        <v>159</v>
      </c>
      <c r="J26" s="13" t="s">
        <v>52</v>
      </c>
      <c r="K26" s="14"/>
      <c r="L26" s="13" t="s">
        <v>52</v>
      </c>
      <c r="M26" s="14"/>
      <c r="N26" s="16" t="s">
        <v>52</v>
      </c>
      <c r="O26" s="13" t="s">
        <v>52</v>
      </c>
      <c r="P26" s="13"/>
      <c r="Q26" s="16" t="s">
        <v>52</v>
      </c>
      <c r="R26" s="13" t="s">
        <v>52</v>
      </c>
      <c r="S26" s="14"/>
      <c r="T26" s="13" t="s">
        <v>52</v>
      </c>
      <c r="U26" s="14"/>
      <c r="V26" s="13" t="s">
        <v>52</v>
      </c>
      <c r="W26" s="14"/>
      <c r="X26" s="13" t="s">
        <v>52</v>
      </c>
      <c r="Y26" s="14"/>
      <c r="Z26" s="16" t="s">
        <v>52</v>
      </c>
      <c r="AA26" s="13" t="s">
        <v>9</v>
      </c>
      <c r="AB26" s="14"/>
      <c r="AC26" s="13" t="s">
        <v>52</v>
      </c>
      <c r="AD26" s="15"/>
      <c r="AE26" s="16" t="s">
        <v>52</v>
      </c>
      <c r="AF26" s="13" t="s">
        <v>52</v>
      </c>
      <c r="AG26" s="14"/>
      <c r="AH26" s="16" t="s">
        <v>52</v>
      </c>
      <c r="AI26" s="13"/>
      <c r="AJ26" s="13"/>
      <c r="AK26" s="13"/>
      <c r="AL26" s="13"/>
      <c r="AM26" s="13"/>
      <c r="AN26" s="13"/>
      <c r="AO26" s="16"/>
      <c r="AP26" s="17">
        <v>29</v>
      </c>
      <c r="AQ26" s="17">
        <v>0</v>
      </c>
      <c r="AR26" s="17">
        <v>0</v>
      </c>
      <c r="AS26" s="17">
        <v>0</v>
      </c>
      <c r="AT26" s="17">
        <v>12</v>
      </c>
    </row>
    <row r="27" spans="1:46" ht="150" x14ac:dyDescent="0.25">
      <c r="A27" s="2">
        <v>21</v>
      </c>
      <c r="B27" s="30" t="s">
        <v>117</v>
      </c>
      <c r="C27" s="2">
        <v>90260051</v>
      </c>
      <c r="D27" s="2" t="s">
        <v>52</v>
      </c>
      <c r="E27" s="2" t="s">
        <v>52</v>
      </c>
      <c r="F27" s="2" t="s">
        <v>9</v>
      </c>
      <c r="G27" s="2" t="s">
        <v>9</v>
      </c>
      <c r="H27" s="2" t="s">
        <v>9</v>
      </c>
      <c r="I27" s="4" t="s">
        <v>160</v>
      </c>
      <c r="J27" s="13" t="s">
        <v>9</v>
      </c>
      <c r="K27" s="14"/>
      <c r="L27" s="13" t="s">
        <v>9</v>
      </c>
      <c r="M27" s="14"/>
      <c r="N27" s="16" t="s">
        <v>9</v>
      </c>
      <c r="O27" s="13" t="s">
        <v>9</v>
      </c>
      <c r="P27" s="13"/>
      <c r="Q27" s="16" t="s">
        <v>9</v>
      </c>
      <c r="R27" s="13" t="s">
        <v>9</v>
      </c>
      <c r="S27" s="14"/>
      <c r="T27" s="13" t="s">
        <v>9</v>
      </c>
      <c r="U27" s="14"/>
      <c r="V27" s="13" t="s">
        <v>9</v>
      </c>
      <c r="W27" s="14"/>
      <c r="X27" s="13" t="s">
        <v>9</v>
      </c>
      <c r="Y27" s="14"/>
      <c r="Z27" s="16" t="s">
        <v>9</v>
      </c>
      <c r="AA27" s="13" t="s">
        <v>9</v>
      </c>
      <c r="AB27" s="14"/>
      <c r="AC27" s="13" t="s">
        <v>52</v>
      </c>
      <c r="AD27" s="15"/>
      <c r="AE27" s="16" t="s">
        <v>52</v>
      </c>
      <c r="AF27" s="13" t="s">
        <v>52</v>
      </c>
      <c r="AG27" s="14"/>
      <c r="AH27" s="16" t="s">
        <v>52</v>
      </c>
      <c r="AI27" s="13"/>
      <c r="AJ27" s="13"/>
      <c r="AK27" s="13"/>
      <c r="AL27" s="13"/>
      <c r="AM27" s="13"/>
      <c r="AN27" s="13"/>
      <c r="AO27" s="16"/>
      <c r="AP27" s="17">
        <v>30</v>
      </c>
      <c r="AQ27" s="17">
        <v>0</v>
      </c>
      <c r="AR27" s="17">
        <v>0</v>
      </c>
      <c r="AS27" s="17">
        <v>0</v>
      </c>
      <c r="AT27" s="17">
        <v>11</v>
      </c>
    </row>
    <row r="28" spans="1:46" ht="16.5" x14ac:dyDescent="0.25">
      <c r="A28" s="2">
        <v>22</v>
      </c>
      <c r="B28" s="7"/>
      <c r="C28" s="2"/>
      <c r="D28" s="2"/>
      <c r="E28" s="2"/>
      <c r="F28" s="2"/>
      <c r="G28" s="2"/>
      <c r="H28" s="2"/>
      <c r="I28" s="4"/>
      <c r="J28" s="13"/>
      <c r="K28" s="14"/>
      <c r="L28" s="13"/>
      <c r="M28" s="14"/>
      <c r="N28" s="16"/>
      <c r="O28" s="13"/>
      <c r="P28" s="13"/>
      <c r="Q28" s="16"/>
      <c r="R28" s="13"/>
      <c r="S28" s="14"/>
      <c r="T28" s="13"/>
      <c r="U28" s="14"/>
      <c r="V28" s="13"/>
      <c r="W28" s="14"/>
      <c r="X28" s="13"/>
      <c r="Y28" s="14"/>
      <c r="Z28" s="16"/>
      <c r="AA28" s="13"/>
      <c r="AB28" s="14"/>
      <c r="AC28" s="13"/>
      <c r="AD28" s="15"/>
      <c r="AE28" s="16"/>
      <c r="AF28" s="13"/>
      <c r="AG28" s="14"/>
      <c r="AH28" s="16"/>
      <c r="AI28" s="13"/>
      <c r="AJ28" s="13"/>
      <c r="AK28" s="13"/>
      <c r="AL28" s="13"/>
      <c r="AM28" s="13"/>
      <c r="AN28" s="13"/>
      <c r="AO28" s="16"/>
      <c r="AP28" s="17"/>
      <c r="AQ28" s="17"/>
      <c r="AR28" s="17"/>
      <c r="AS28" s="17"/>
      <c r="AT28" s="17"/>
    </row>
    <row r="29" spans="1:46" ht="16.5" x14ac:dyDescent="0.25">
      <c r="A29" s="2">
        <v>23</v>
      </c>
      <c r="B29" s="7"/>
      <c r="C29" s="2"/>
      <c r="D29" s="2"/>
      <c r="E29" s="2"/>
      <c r="F29" s="2"/>
      <c r="G29" s="2"/>
      <c r="H29" s="2"/>
      <c r="I29" s="4"/>
      <c r="J29" s="13"/>
      <c r="K29" s="14"/>
      <c r="L29" s="13"/>
      <c r="M29" s="14"/>
      <c r="N29" s="16"/>
      <c r="O29" s="13"/>
      <c r="P29" s="13"/>
      <c r="Q29" s="16"/>
      <c r="R29" s="13"/>
      <c r="S29" s="14"/>
      <c r="T29" s="13"/>
      <c r="U29" s="14"/>
      <c r="V29" s="13"/>
      <c r="W29" s="14"/>
      <c r="X29" s="13"/>
      <c r="Y29" s="14"/>
      <c r="Z29" s="16"/>
      <c r="AA29" s="13"/>
      <c r="AB29" s="14"/>
      <c r="AC29" s="13"/>
      <c r="AD29" s="15"/>
      <c r="AE29" s="16"/>
      <c r="AF29" s="13"/>
      <c r="AG29" s="14"/>
      <c r="AH29" s="16"/>
      <c r="AI29" s="13"/>
      <c r="AJ29" s="13"/>
      <c r="AK29" s="13"/>
      <c r="AL29" s="13"/>
      <c r="AM29" s="13"/>
      <c r="AN29" s="13"/>
      <c r="AO29" s="16"/>
      <c r="AP29" s="17"/>
      <c r="AQ29" s="17"/>
      <c r="AR29" s="17"/>
      <c r="AS29" s="17"/>
      <c r="AT29" s="17"/>
    </row>
    <row r="30" spans="1:46" ht="16.5" x14ac:dyDescent="0.25">
      <c r="A30" s="2">
        <v>24</v>
      </c>
      <c r="B30" s="7"/>
      <c r="C30" s="2"/>
      <c r="D30" s="2"/>
      <c r="E30" s="2"/>
      <c r="F30" s="2"/>
      <c r="G30" s="2"/>
      <c r="H30" s="2"/>
      <c r="I30" s="4"/>
      <c r="J30" s="13"/>
      <c r="K30" s="14"/>
      <c r="L30" s="13"/>
      <c r="M30" s="14"/>
      <c r="N30" s="16"/>
      <c r="O30" s="13"/>
      <c r="P30" s="13"/>
      <c r="Q30" s="16"/>
      <c r="R30" s="13"/>
      <c r="S30" s="14"/>
      <c r="T30" s="13"/>
      <c r="U30" s="14"/>
      <c r="V30" s="13"/>
      <c r="W30" s="14"/>
      <c r="X30" s="13"/>
      <c r="Y30" s="14"/>
      <c r="Z30" s="16"/>
      <c r="AA30" s="13"/>
      <c r="AB30" s="14"/>
      <c r="AC30" s="13"/>
      <c r="AD30" s="15"/>
      <c r="AE30" s="16"/>
      <c r="AF30" s="13"/>
      <c r="AG30" s="14"/>
      <c r="AH30" s="16"/>
      <c r="AI30" s="13"/>
      <c r="AJ30" s="13"/>
      <c r="AK30" s="13"/>
      <c r="AL30" s="13"/>
      <c r="AM30" s="13"/>
      <c r="AN30" s="13"/>
      <c r="AO30" s="16"/>
      <c r="AP30" s="17"/>
      <c r="AQ30" s="17"/>
      <c r="AR30" s="17"/>
      <c r="AS30" s="17"/>
      <c r="AT30" s="17"/>
    </row>
    <row r="31" spans="1:46" ht="16.5" x14ac:dyDescent="0.25">
      <c r="A31" s="2">
        <v>25</v>
      </c>
      <c r="B31" s="7"/>
      <c r="C31" s="2"/>
      <c r="D31" s="2"/>
      <c r="E31" s="2"/>
      <c r="F31" s="2"/>
      <c r="G31" s="2"/>
      <c r="H31" s="2"/>
      <c r="I31" s="4"/>
      <c r="J31" s="13"/>
      <c r="K31" s="14"/>
      <c r="L31" s="13"/>
      <c r="M31" s="14"/>
      <c r="N31" s="16"/>
      <c r="O31" s="13"/>
      <c r="P31" s="13"/>
      <c r="Q31" s="16"/>
      <c r="R31" s="13"/>
      <c r="S31" s="14"/>
      <c r="T31" s="13"/>
      <c r="U31" s="14"/>
      <c r="V31" s="13"/>
      <c r="W31" s="14"/>
      <c r="X31" s="13"/>
      <c r="Y31" s="14"/>
      <c r="Z31" s="16"/>
      <c r="AA31" s="13"/>
      <c r="AB31" s="14"/>
      <c r="AC31" s="13"/>
      <c r="AD31" s="15"/>
      <c r="AE31" s="16"/>
      <c r="AF31" s="13"/>
      <c r="AG31" s="14"/>
      <c r="AH31" s="16"/>
      <c r="AI31" s="13"/>
      <c r="AJ31" s="13"/>
      <c r="AK31" s="13"/>
      <c r="AL31" s="13"/>
      <c r="AM31" s="13"/>
      <c r="AN31" s="13"/>
      <c r="AO31" s="16"/>
      <c r="AP31" s="6"/>
      <c r="AQ31" s="6"/>
      <c r="AR31" s="6"/>
      <c r="AS31" s="6"/>
      <c r="AT31" s="6"/>
    </row>
    <row r="32" spans="1:46" ht="16.5" x14ac:dyDescent="0.25">
      <c r="A32" s="2">
        <v>26</v>
      </c>
      <c r="B32" s="7"/>
      <c r="C32" s="2"/>
      <c r="D32" s="2"/>
      <c r="E32" s="2"/>
      <c r="F32" s="2"/>
      <c r="G32" s="2"/>
      <c r="H32" s="2"/>
      <c r="I32" s="4"/>
      <c r="J32" s="13"/>
      <c r="K32" s="14"/>
      <c r="L32" s="13"/>
      <c r="M32" s="14"/>
      <c r="N32" s="16"/>
      <c r="O32" s="13"/>
      <c r="P32" s="13"/>
      <c r="Q32" s="16"/>
      <c r="R32" s="13"/>
      <c r="S32" s="14"/>
      <c r="T32" s="13"/>
      <c r="U32" s="14"/>
      <c r="V32" s="13"/>
      <c r="W32" s="14"/>
      <c r="X32" s="13"/>
      <c r="Y32" s="14"/>
      <c r="Z32" s="16"/>
      <c r="AA32" s="13"/>
      <c r="AB32" s="14"/>
      <c r="AC32" s="13"/>
      <c r="AD32" s="15"/>
      <c r="AE32" s="16"/>
      <c r="AF32" s="13"/>
      <c r="AG32" s="14"/>
      <c r="AH32" s="16"/>
      <c r="AI32" s="13"/>
      <c r="AJ32" s="13"/>
      <c r="AK32" s="13"/>
      <c r="AL32" s="13"/>
      <c r="AM32" s="13"/>
      <c r="AN32" s="13"/>
      <c r="AO32" s="16"/>
      <c r="AP32" s="6"/>
      <c r="AQ32" s="6"/>
      <c r="AR32" s="6"/>
      <c r="AS32" s="6"/>
      <c r="AT32" s="6"/>
    </row>
    <row r="33" spans="1:46" ht="16.5" x14ac:dyDescent="0.25">
      <c r="A33" s="2">
        <v>27</v>
      </c>
      <c r="B33" s="7"/>
      <c r="C33" s="2"/>
      <c r="D33" s="2"/>
      <c r="E33" s="2"/>
      <c r="F33" s="2"/>
      <c r="G33" s="2"/>
      <c r="H33" s="2"/>
      <c r="I33" s="4"/>
      <c r="J33" s="13"/>
      <c r="K33" s="14"/>
      <c r="L33" s="13"/>
      <c r="M33" s="14"/>
      <c r="N33" s="16"/>
      <c r="O33" s="13"/>
      <c r="P33" s="13"/>
      <c r="Q33" s="16"/>
      <c r="R33" s="13"/>
      <c r="S33" s="14"/>
      <c r="T33" s="13"/>
      <c r="U33" s="14"/>
      <c r="V33" s="13"/>
      <c r="W33" s="14"/>
      <c r="X33" s="13"/>
      <c r="Y33" s="14"/>
      <c r="Z33" s="16"/>
      <c r="AA33" s="13"/>
      <c r="AB33" s="14"/>
      <c r="AC33" s="13"/>
      <c r="AD33" s="15"/>
      <c r="AE33" s="16"/>
      <c r="AF33" s="13"/>
      <c r="AG33" s="14"/>
      <c r="AH33" s="16"/>
      <c r="AI33" s="13"/>
      <c r="AJ33" s="13"/>
      <c r="AK33" s="13"/>
      <c r="AL33" s="13"/>
      <c r="AM33" s="13"/>
      <c r="AN33" s="13"/>
      <c r="AO33" s="16"/>
      <c r="AP33" s="6"/>
      <c r="AQ33" s="6"/>
      <c r="AR33" s="6"/>
      <c r="AS33" s="6"/>
      <c r="AT33" s="6"/>
    </row>
    <row r="34" spans="1:46" ht="16.5" x14ac:dyDescent="0.25">
      <c r="A34" s="2">
        <v>28</v>
      </c>
      <c r="B34" s="7"/>
      <c r="C34" s="2"/>
      <c r="D34" s="2"/>
      <c r="E34" s="2"/>
      <c r="F34" s="2"/>
      <c r="G34" s="2"/>
      <c r="H34" s="2"/>
      <c r="I34" s="4"/>
      <c r="J34" s="13"/>
      <c r="K34" s="14"/>
      <c r="L34" s="13"/>
      <c r="M34" s="14"/>
      <c r="N34" s="16"/>
      <c r="O34" s="13"/>
      <c r="P34" s="13"/>
      <c r="Q34" s="16"/>
      <c r="R34" s="13"/>
      <c r="S34" s="14"/>
      <c r="T34" s="13"/>
      <c r="U34" s="14"/>
      <c r="V34" s="13"/>
      <c r="W34" s="14"/>
      <c r="X34" s="13"/>
      <c r="Y34" s="14"/>
      <c r="Z34" s="16"/>
      <c r="AA34" s="13"/>
      <c r="AB34" s="14"/>
      <c r="AC34" s="13"/>
      <c r="AD34" s="15"/>
      <c r="AE34" s="16"/>
      <c r="AF34" s="13"/>
      <c r="AG34" s="14"/>
      <c r="AH34" s="16"/>
      <c r="AI34" s="13"/>
      <c r="AJ34" s="13"/>
      <c r="AK34" s="13"/>
      <c r="AL34" s="13"/>
      <c r="AM34" s="13"/>
      <c r="AN34" s="13"/>
      <c r="AO34" s="16"/>
      <c r="AP34" s="6"/>
      <c r="AQ34" s="6"/>
      <c r="AR34" s="6"/>
      <c r="AS34" s="6"/>
      <c r="AT34" s="6"/>
    </row>
    <row r="35" spans="1:46" ht="16.5" x14ac:dyDescent="0.25">
      <c r="A35" s="2">
        <v>29</v>
      </c>
      <c r="B35" s="7"/>
      <c r="C35" s="2"/>
      <c r="D35" s="2"/>
      <c r="E35" s="2"/>
      <c r="F35" s="2"/>
      <c r="G35" s="2"/>
      <c r="H35" s="2"/>
      <c r="I35" s="4"/>
      <c r="J35" s="13"/>
      <c r="K35" s="14"/>
      <c r="L35" s="13"/>
      <c r="M35" s="14"/>
      <c r="N35" s="16"/>
      <c r="O35" s="13"/>
      <c r="P35" s="13"/>
      <c r="Q35" s="16"/>
      <c r="R35" s="13"/>
      <c r="S35" s="14"/>
      <c r="T35" s="13"/>
      <c r="U35" s="14"/>
      <c r="V35" s="13"/>
      <c r="W35" s="14"/>
      <c r="X35" s="13"/>
      <c r="Y35" s="14"/>
      <c r="Z35" s="16"/>
      <c r="AA35" s="13"/>
      <c r="AB35" s="14"/>
      <c r="AC35" s="13"/>
      <c r="AD35" s="15"/>
      <c r="AE35" s="16"/>
      <c r="AF35" s="13"/>
      <c r="AG35" s="14"/>
      <c r="AH35" s="16"/>
      <c r="AI35" s="13"/>
      <c r="AJ35" s="13"/>
      <c r="AK35" s="13"/>
      <c r="AL35" s="13"/>
      <c r="AM35" s="13"/>
      <c r="AN35" s="13"/>
      <c r="AO35" s="16"/>
      <c r="AP35" s="6"/>
      <c r="AQ35" s="6"/>
      <c r="AR35" s="6"/>
      <c r="AS35" s="6"/>
      <c r="AT35" s="6"/>
    </row>
    <row r="36" spans="1:46" ht="16.5" x14ac:dyDescent="0.25">
      <c r="A36" s="2">
        <v>30</v>
      </c>
      <c r="B36" s="7"/>
      <c r="C36" s="2"/>
      <c r="D36" s="2"/>
      <c r="E36" s="2"/>
      <c r="F36" s="2"/>
      <c r="G36" s="2"/>
      <c r="H36" s="2"/>
      <c r="I36" s="4"/>
      <c r="J36" s="13"/>
      <c r="K36" s="14"/>
      <c r="L36" s="13"/>
      <c r="M36" s="14"/>
      <c r="N36" s="16"/>
      <c r="O36" s="13"/>
      <c r="P36" s="13"/>
      <c r="Q36" s="16"/>
      <c r="R36" s="13"/>
      <c r="S36" s="14"/>
      <c r="T36" s="13"/>
      <c r="U36" s="14"/>
      <c r="V36" s="13"/>
      <c r="W36" s="14"/>
      <c r="X36" s="13"/>
      <c r="Y36" s="14"/>
      <c r="Z36" s="16"/>
      <c r="AA36" s="13"/>
      <c r="AB36" s="14"/>
      <c r="AC36" s="13"/>
      <c r="AD36" s="15"/>
      <c r="AE36" s="16"/>
      <c r="AF36" s="13"/>
      <c r="AG36" s="14"/>
      <c r="AH36" s="16"/>
      <c r="AI36" s="13"/>
      <c r="AJ36" s="13"/>
      <c r="AK36" s="13"/>
      <c r="AL36" s="13"/>
      <c r="AM36" s="13"/>
      <c r="AN36" s="13"/>
      <c r="AO36" s="16"/>
      <c r="AP36" s="6"/>
      <c r="AQ36" s="6"/>
      <c r="AR36" s="6"/>
      <c r="AS36" s="6"/>
      <c r="AT36" s="6"/>
    </row>
  </sheetData>
  <mergeCells count="17">
    <mergeCell ref="AP5:AP6"/>
    <mergeCell ref="AQ5:AQ6"/>
    <mergeCell ref="AR5:AR6"/>
    <mergeCell ref="AS5:AS6"/>
    <mergeCell ref="AT5:AT6"/>
    <mergeCell ref="A5:A6"/>
    <mergeCell ref="B5:B6"/>
    <mergeCell ref="C5:C6"/>
    <mergeCell ref="D5:H5"/>
    <mergeCell ref="I5:I6"/>
    <mergeCell ref="J5:N5"/>
    <mergeCell ref="AM5:AO5"/>
    <mergeCell ref="O5:Q5"/>
    <mergeCell ref="R5:Z5"/>
    <mergeCell ref="AA5:AE5"/>
    <mergeCell ref="AF5:AH5"/>
    <mergeCell ref="AI5:AL5"/>
  </mergeCells>
  <conditionalFormatting sqref="J7:J36 L7:L36 O7:O36 R7:R36 T7:T36 V7:V36 AA7:AA36 AC7:AC36 AF7:AF36 AI7:AI36 AK7:AK36">
    <cfRule type="containsText" dxfId="59" priority="5" operator="containsText" text="AD">
      <formula>NOT(ISERROR(SEARCH(("AD"),(J7))))</formula>
    </cfRule>
  </conditionalFormatting>
  <conditionalFormatting sqref="J7:J36 L7:L36 O7:O36 R7:R36 T7:T36 V7:V36 AA7:AA36 AC7:AC36 AF7:AF36 AI7:AI36 AK7:AK36">
    <cfRule type="containsText" dxfId="58" priority="6" operator="containsText" text="A">
      <formula>NOT(ISERROR(SEARCH(("A"),(J7))))</formula>
    </cfRule>
  </conditionalFormatting>
  <conditionalFormatting sqref="J7:J36 L7:L36 O7:O36 R7:R36 T7:T36 V7:V36 AA7:AA36 AC7:AC36 AF7:AF36 AI7:AI36 AK7:AK36">
    <cfRule type="containsText" dxfId="57" priority="7" operator="containsText" text="B">
      <formula>NOT(ISERROR(SEARCH(("B"),(J7))))</formula>
    </cfRule>
  </conditionalFormatting>
  <conditionalFormatting sqref="J7:J36 L7:L36 O7:O36 R7:R36 T7:T36 V7:V36 AA7:AA36 AC7:AC36 AF7:AF36 AI7:AI36 AK7:AK36">
    <cfRule type="containsText" dxfId="56" priority="8" operator="containsText" text="C">
      <formula>NOT(ISERROR(SEARCH(("C"),(J7))))</formula>
    </cfRule>
  </conditionalFormatting>
  <conditionalFormatting sqref="AM7:AM36">
    <cfRule type="containsText" dxfId="55" priority="9" operator="containsText" text="AD">
      <formula>NOT(ISERROR(SEARCH(("AD"),(AM7))))</formula>
    </cfRule>
  </conditionalFormatting>
  <conditionalFormatting sqref="AM7:AM36">
    <cfRule type="containsText" dxfId="54" priority="10" operator="containsText" text="A">
      <formula>NOT(ISERROR(SEARCH(("A"),(AM7))))</formula>
    </cfRule>
  </conditionalFormatting>
  <conditionalFormatting sqref="AM7:AM36">
    <cfRule type="containsText" dxfId="53" priority="11" operator="containsText" text="B">
      <formula>NOT(ISERROR(SEARCH(("B"),(AM7))))</formula>
    </cfRule>
  </conditionalFormatting>
  <conditionalFormatting sqref="AM7:AM36">
    <cfRule type="containsText" dxfId="52" priority="12" operator="containsText" text="C">
      <formula>NOT(ISERROR(SEARCH(("C"),(AM7))))</formula>
    </cfRule>
  </conditionalFormatting>
  <conditionalFormatting sqref="X7:X36">
    <cfRule type="containsText" dxfId="51" priority="1" operator="containsText" text="AD">
      <formula>NOT(ISERROR(SEARCH(("AD"),(X7))))</formula>
    </cfRule>
  </conditionalFormatting>
  <conditionalFormatting sqref="X7:X36">
    <cfRule type="containsText" dxfId="50" priority="2" operator="containsText" text="A">
      <formula>NOT(ISERROR(SEARCH(("A"),(X7))))</formula>
    </cfRule>
  </conditionalFormatting>
  <conditionalFormatting sqref="X7:X36">
    <cfRule type="containsText" dxfId="49" priority="3" operator="containsText" text="B">
      <formula>NOT(ISERROR(SEARCH(("B"),(X7))))</formula>
    </cfRule>
  </conditionalFormatting>
  <conditionalFormatting sqref="X7:X36">
    <cfRule type="containsText" dxfId="48" priority="4" operator="containsText" text="C">
      <formula>NOT(ISERROR(SEARCH(("C"),(X7))))</formula>
    </cfRule>
  </conditionalFormatting>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67137-240E-41A8-B23D-61A3EA5E8B33}">
  <sheetPr codeName="Hoja4"/>
  <dimension ref="A2:BH36"/>
  <sheetViews>
    <sheetView topLeftCell="A27" zoomScale="68" zoomScaleNormal="68" workbookViewId="0">
      <selection activeCell="D7" sqref="D7:H27"/>
    </sheetView>
  </sheetViews>
  <sheetFormatPr baseColWidth="10" defaultRowHeight="15" x14ac:dyDescent="0.25"/>
  <cols>
    <col min="1" max="1" width="3" bestFit="1" customWidth="1"/>
    <col min="2" max="2" width="8.7109375" bestFit="1" customWidth="1"/>
    <col min="3" max="3" width="6" customWidth="1"/>
    <col min="4" max="8" width="8.85546875" style="1" customWidth="1"/>
    <col min="9" max="9" width="64.140625" style="5" customWidth="1"/>
    <col min="10" max="10" width="2.85546875" bestFit="1" customWidth="1"/>
    <col min="11" max="11" width="3.28515625" bestFit="1" customWidth="1"/>
    <col min="12" max="12" width="2.85546875" bestFit="1" customWidth="1"/>
    <col min="13" max="13" width="3.28515625" bestFit="1" customWidth="1"/>
    <col min="14" max="15" width="2.85546875" bestFit="1" customWidth="1"/>
    <col min="16" max="16" width="3.28515625" bestFit="1" customWidth="1"/>
    <col min="17" max="18" width="2.85546875" bestFit="1" customWidth="1"/>
    <col min="19" max="19" width="3.28515625" bestFit="1" customWidth="1"/>
    <col min="20" max="20" width="2.85546875" bestFit="1" customWidth="1"/>
    <col min="21" max="21" width="3.28515625" bestFit="1" customWidth="1"/>
    <col min="22" max="22" width="2.85546875" bestFit="1" customWidth="1"/>
    <col min="23" max="23" width="3.28515625" bestFit="1" customWidth="1"/>
    <col min="24" max="24" width="2.85546875" bestFit="1" customWidth="1"/>
    <col min="25" max="25" width="3.28515625" bestFit="1" customWidth="1"/>
    <col min="26" max="27" width="2.85546875" bestFit="1" customWidth="1"/>
    <col min="28" max="28" width="3.28515625" bestFit="1" customWidth="1"/>
    <col min="29" max="29" width="2.85546875" bestFit="1" customWidth="1"/>
    <col min="30" max="30" width="3.28515625" bestFit="1" customWidth="1"/>
    <col min="31" max="32" width="2.85546875" bestFit="1" customWidth="1"/>
    <col min="33" max="33" width="3.28515625" bestFit="1" customWidth="1"/>
    <col min="34" max="35" width="2.85546875" bestFit="1" customWidth="1"/>
    <col min="36" max="36" width="3.28515625" bestFit="1" customWidth="1"/>
    <col min="37" max="37" width="2.85546875" bestFit="1" customWidth="1"/>
    <col min="38" max="38" width="3.28515625" bestFit="1" customWidth="1"/>
    <col min="39" max="39" width="2.85546875" bestFit="1" customWidth="1"/>
    <col min="40" max="40" width="3.28515625" bestFit="1" customWidth="1"/>
    <col min="41" max="41" width="2.85546875" bestFit="1" customWidth="1"/>
  </cols>
  <sheetData>
    <row r="2" spans="1:60" x14ac:dyDescent="0.25">
      <c r="B2" s="28"/>
      <c r="C2" s="28"/>
      <c r="D2" s="28"/>
      <c r="E2" s="28"/>
      <c r="F2" s="28"/>
      <c r="G2" s="28"/>
      <c r="H2" s="28"/>
    </row>
    <row r="3" spans="1:60" x14ac:dyDescent="0.25">
      <c r="B3" s="28"/>
      <c r="C3" s="28"/>
      <c r="D3" s="28"/>
      <c r="E3" s="28"/>
      <c r="F3" s="28"/>
      <c r="G3" s="28"/>
      <c r="H3" s="28"/>
    </row>
    <row r="4" spans="1:60" x14ac:dyDescent="0.25">
      <c r="D4"/>
      <c r="E4"/>
      <c r="F4"/>
      <c r="G4"/>
      <c r="H4"/>
      <c r="I4"/>
    </row>
    <row r="5" spans="1:60" ht="30" customHeight="1" x14ac:dyDescent="0.25">
      <c r="A5" s="122" t="s">
        <v>46</v>
      </c>
      <c r="B5" s="122" t="s">
        <v>79</v>
      </c>
      <c r="C5" s="122" t="s">
        <v>80</v>
      </c>
      <c r="D5" s="122" t="s">
        <v>89</v>
      </c>
      <c r="E5" s="122"/>
      <c r="F5" s="122"/>
      <c r="G5" s="122"/>
      <c r="H5" s="122"/>
      <c r="I5" s="123" t="s">
        <v>86</v>
      </c>
      <c r="J5" s="118" t="s">
        <v>21</v>
      </c>
      <c r="K5" s="119"/>
      <c r="L5" s="119"/>
      <c r="M5" s="119"/>
      <c r="N5" s="119"/>
      <c r="O5" s="118" t="s">
        <v>91</v>
      </c>
      <c r="P5" s="119"/>
      <c r="Q5" s="119"/>
      <c r="R5" s="118" t="s">
        <v>71</v>
      </c>
      <c r="S5" s="119"/>
      <c r="T5" s="119"/>
      <c r="U5" s="119"/>
      <c r="V5" s="119"/>
      <c r="W5" s="119"/>
      <c r="X5" s="119"/>
      <c r="Y5" s="119"/>
      <c r="Z5" s="119"/>
      <c r="AA5" s="118" t="s">
        <v>26</v>
      </c>
      <c r="AB5" s="119"/>
      <c r="AC5" s="119"/>
      <c r="AD5" s="119"/>
      <c r="AE5" s="119"/>
      <c r="AF5" s="118" t="s">
        <v>28</v>
      </c>
      <c r="AG5" s="119"/>
      <c r="AH5" s="119"/>
      <c r="AI5" s="120" t="s">
        <v>29</v>
      </c>
      <c r="AJ5" s="121"/>
      <c r="AK5" s="121"/>
      <c r="AL5" s="121"/>
      <c r="AM5" s="118" t="s">
        <v>72</v>
      </c>
      <c r="AN5" s="119"/>
      <c r="AO5" s="119"/>
      <c r="AP5" s="124" t="s">
        <v>81</v>
      </c>
      <c r="AQ5" s="124" t="s">
        <v>82</v>
      </c>
      <c r="AR5" s="124" t="s">
        <v>181</v>
      </c>
      <c r="AS5" s="124" t="s">
        <v>84</v>
      </c>
      <c r="AT5" s="124" t="s">
        <v>85</v>
      </c>
    </row>
    <row r="6" spans="1:60" ht="24" x14ac:dyDescent="0.25">
      <c r="A6" s="122"/>
      <c r="B6" s="122"/>
      <c r="C6" s="122"/>
      <c r="D6" s="26" t="s">
        <v>39</v>
      </c>
      <c r="E6" s="26" t="s">
        <v>41</v>
      </c>
      <c r="F6" s="26" t="s">
        <v>42</v>
      </c>
      <c r="G6" s="26" t="s">
        <v>44</v>
      </c>
      <c r="H6" s="26" t="s">
        <v>88</v>
      </c>
      <c r="I6" s="123"/>
      <c r="J6" s="8" t="s">
        <v>73</v>
      </c>
      <c r="K6" s="9" t="s">
        <v>78</v>
      </c>
      <c r="L6" s="10" t="s">
        <v>74</v>
      </c>
      <c r="M6" s="9" t="s">
        <v>78</v>
      </c>
      <c r="N6" s="11" t="s">
        <v>77</v>
      </c>
      <c r="O6" s="10" t="s">
        <v>73</v>
      </c>
      <c r="P6" s="9" t="s">
        <v>78</v>
      </c>
      <c r="Q6" s="11" t="s">
        <v>77</v>
      </c>
      <c r="R6" s="10" t="s">
        <v>73</v>
      </c>
      <c r="S6" s="9" t="s">
        <v>78</v>
      </c>
      <c r="T6" s="10" t="s">
        <v>74</v>
      </c>
      <c r="U6" s="9" t="s">
        <v>78</v>
      </c>
      <c r="V6" s="10" t="s">
        <v>75</v>
      </c>
      <c r="W6" s="9" t="s">
        <v>78</v>
      </c>
      <c r="X6" s="8" t="s">
        <v>76</v>
      </c>
      <c r="Y6" s="9" t="s">
        <v>78</v>
      </c>
      <c r="Z6" s="11" t="s">
        <v>77</v>
      </c>
      <c r="AA6" s="10" t="s">
        <v>73</v>
      </c>
      <c r="AB6" s="9" t="s">
        <v>78</v>
      </c>
      <c r="AC6" s="10" t="s">
        <v>74</v>
      </c>
      <c r="AD6" s="9" t="s">
        <v>78</v>
      </c>
      <c r="AE6" s="11" t="s">
        <v>77</v>
      </c>
      <c r="AF6" s="8" t="s">
        <v>73</v>
      </c>
      <c r="AG6" s="9" t="s">
        <v>78</v>
      </c>
      <c r="AH6" s="11" t="s">
        <v>77</v>
      </c>
      <c r="AI6" s="10" t="s">
        <v>73</v>
      </c>
      <c r="AJ6" s="9" t="s">
        <v>78</v>
      </c>
      <c r="AK6" s="10" t="s">
        <v>74</v>
      </c>
      <c r="AL6" s="9" t="s">
        <v>78</v>
      </c>
      <c r="AM6" s="10" t="s">
        <v>73</v>
      </c>
      <c r="AN6" s="9" t="s">
        <v>78</v>
      </c>
      <c r="AO6" s="11" t="s">
        <v>77</v>
      </c>
      <c r="AP6" s="124"/>
      <c r="AQ6" s="124"/>
      <c r="AR6" s="124"/>
      <c r="AS6" s="124"/>
      <c r="AT6" s="124"/>
    </row>
    <row r="7" spans="1:60" ht="195" x14ac:dyDescent="0.25">
      <c r="A7" s="2">
        <v>1</v>
      </c>
      <c r="B7" s="30" t="s">
        <v>97</v>
      </c>
      <c r="C7" s="2">
        <v>90373031</v>
      </c>
      <c r="D7" s="2" t="s">
        <v>9</v>
      </c>
      <c r="E7" s="2" t="s">
        <v>9</v>
      </c>
      <c r="F7" s="2" t="s">
        <v>9</v>
      </c>
      <c r="G7" s="2" t="s">
        <v>9</v>
      </c>
      <c r="H7" s="2" t="s">
        <v>9</v>
      </c>
      <c r="I7" s="3" t="s">
        <v>174</v>
      </c>
      <c r="J7" s="13" t="s">
        <v>9</v>
      </c>
      <c r="K7" s="12"/>
      <c r="L7" s="13" t="s">
        <v>9</v>
      </c>
      <c r="M7" s="12"/>
      <c r="N7" s="16" t="s">
        <v>9</v>
      </c>
      <c r="O7" s="13" t="s">
        <v>9</v>
      </c>
      <c r="P7" s="12"/>
      <c r="Q7" s="16" t="s">
        <v>9</v>
      </c>
      <c r="R7" s="13" t="s">
        <v>9</v>
      </c>
      <c r="S7" s="12"/>
      <c r="T7" s="13" t="s">
        <v>9</v>
      </c>
      <c r="U7" s="12"/>
      <c r="V7" s="13" t="s">
        <v>9</v>
      </c>
      <c r="W7" s="12"/>
      <c r="X7" s="13" t="s">
        <v>9</v>
      </c>
      <c r="Y7" s="12"/>
      <c r="Z7" s="16" t="s">
        <v>9</v>
      </c>
      <c r="AA7" s="13" t="s">
        <v>9</v>
      </c>
      <c r="AB7" s="12"/>
      <c r="AC7" s="13" t="s">
        <v>9</v>
      </c>
      <c r="AD7" s="12"/>
      <c r="AE7" s="16" t="s">
        <v>9</v>
      </c>
      <c r="AF7" s="13" t="s">
        <v>9</v>
      </c>
      <c r="AG7" s="12"/>
      <c r="AH7" s="16" t="s">
        <v>9</v>
      </c>
      <c r="AI7" s="13"/>
      <c r="AJ7" s="12"/>
      <c r="AK7" s="13"/>
      <c r="AL7" s="12"/>
      <c r="AM7" s="13"/>
      <c r="AN7" s="12"/>
      <c r="AO7" s="16"/>
      <c r="AP7" s="17">
        <v>25</v>
      </c>
      <c r="AQ7" s="17">
        <v>0</v>
      </c>
      <c r="AR7" s="17">
        <v>0</v>
      </c>
      <c r="AS7" s="17">
        <v>3</v>
      </c>
      <c r="AT7" s="17">
        <v>14</v>
      </c>
      <c r="BH7">
        <v>1</v>
      </c>
    </row>
    <row r="8" spans="1:60" ht="195" x14ac:dyDescent="0.25">
      <c r="A8" s="2">
        <v>2</v>
      </c>
      <c r="B8" s="30" t="s">
        <v>98</v>
      </c>
      <c r="C8" s="2">
        <v>90479090</v>
      </c>
      <c r="D8" s="2" t="s">
        <v>9</v>
      </c>
      <c r="E8" s="2" t="s">
        <v>9</v>
      </c>
      <c r="F8" s="2" t="s">
        <v>9</v>
      </c>
      <c r="G8" s="2" t="s">
        <v>9</v>
      </c>
      <c r="H8" s="2" t="s">
        <v>9</v>
      </c>
      <c r="I8" s="3" t="s">
        <v>162</v>
      </c>
      <c r="J8" s="13" t="s">
        <v>9</v>
      </c>
      <c r="K8" s="14"/>
      <c r="L8" s="13" t="s">
        <v>9</v>
      </c>
      <c r="M8" s="14"/>
      <c r="N8" s="16" t="s">
        <v>9</v>
      </c>
      <c r="O8" s="13" t="s">
        <v>9</v>
      </c>
      <c r="P8" s="13"/>
      <c r="Q8" s="16" t="s">
        <v>9</v>
      </c>
      <c r="R8" s="13" t="s">
        <v>9</v>
      </c>
      <c r="S8" s="14"/>
      <c r="T8" s="13" t="s">
        <v>9</v>
      </c>
      <c r="U8" s="14"/>
      <c r="V8" s="13" t="s">
        <v>9</v>
      </c>
      <c r="W8" s="14"/>
      <c r="X8" s="13" t="s">
        <v>9</v>
      </c>
      <c r="Y8" s="14"/>
      <c r="Z8" s="16" t="s">
        <v>9</v>
      </c>
      <c r="AA8" s="13" t="s">
        <v>9</v>
      </c>
      <c r="AB8" s="14"/>
      <c r="AC8" s="13" t="s">
        <v>9</v>
      </c>
      <c r="AD8" s="15"/>
      <c r="AE8" s="16" t="s">
        <v>9</v>
      </c>
      <c r="AF8" s="13" t="s">
        <v>9</v>
      </c>
      <c r="AG8" s="14"/>
      <c r="AH8" s="16" t="s">
        <v>9</v>
      </c>
      <c r="AI8" s="13"/>
      <c r="AJ8" s="13"/>
      <c r="AK8" s="13"/>
      <c r="AL8" s="13"/>
      <c r="AM8" s="13"/>
      <c r="AN8" s="13"/>
      <c r="AO8" s="16"/>
      <c r="AP8" s="17">
        <v>40</v>
      </c>
      <c r="AQ8" s="17">
        <v>0</v>
      </c>
      <c r="AR8" s="17">
        <v>0</v>
      </c>
      <c r="AS8" s="17">
        <v>0</v>
      </c>
      <c r="AT8" s="17">
        <v>2</v>
      </c>
    </row>
    <row r="9" spans="1:60" ht="165" x14ac:dyDescent="0.25">
      <c r="A9" s="2">
        <v>3</v>
      </c>
      <c r="B9" s="30" t="s">
        <v>99</v>
      </c>
      <c r="C9" s="2">
        <v>90553781</v>
      </c>
      <c r="D9" s="2" t="s">
        <v>9</v>
      </c>
      <c r="E9" s="2" t="s">
        <v>9</v>
      </c>
      <c r="F9" s="2" t="s">
        <v>9</v>
      </c>
      <c r="G9" s="2" t="s">
        <v>9</v>
      </c>
      <c r="H9" s="2" t="s">
        <v>9</v>
      </c>
      <c r="I9" s="3" t="s">
        <v>169</v>
      </c>
      <c r="J9" s="13" t="s">
        <v>9</v>
      </c>
      <c r="K9" s="14"/>
      <c r="L9" s="13" t="s">
        <v>9</v>
      </c>
      <c r="M9" s="14"/>
      <c r="N9" s="16" t="s">
        <v>9</v>
      </c>
      <c r="O9" s="13" t="s">
        <v>9</v>
      </c>
      <c r="P9" s="13"/>
      <c r="Q9" s="16" t="s">
        <v>9</v>
      </c>
      <c r="R9" s="13" t="s">
        <v>9</v>
      </c>
      <c r="S9" s="14"/>
      <c r="T9" s="13" t="s">
        <v>9</v>
      </c>
      <c r="U9" s="14"/>
      <c r="V9" s="13" t="s">
        <v>9</v>
      </c>
      <c r="W9" s="14"/>
      <c r="X9" s="13" t="s">
        <v>9</v>
      </c>
      <c r="Y9" s="14"/>
      <c r="Z9" s="16" t="s">
        <v>9</v>
      </c>
      <c r="AA9" s="13" t="s">
        <v>9</v>
      </c>
      <c r="AB9" s="14"/>
      <c r="AC9" s="13" t="s">
        <v>9</v>
      </c>
      <c r="AD9" s="15"/>
      <c r="AE9" s="16" t="s">
        <v>9</v>
      </c>
      <c r="AF9" s="13" t="s">
        <v>9</v>
      </c>
      <c r="AG9" s="14"/>
      <c r="AH9" s="16" t="s">
        <v>9</v>
      </c>
      <c r="AI9" s="13"/>
      <c r="AJ9" s="13"/>
      <c r="AK9" s="13"/>
      <c r="AL9" s="13"/>
      <c r="AM9" s="13"/>
      <c r="AN9" s="13"/>
      <c r="AO9" s="16"/>
      <c r="AP9" s="17">
        <v>41</v>
      </c>
      <c r="AQ9" s="17">
        <v>0</v>
      </c>
      <c r="AR9" s="17">
        <v>0</v>
      </c>
      <c r="AS9" s="17">
        <v>0</v>
      </c>
      <c r="AT9" s="17">
        <v>1</v>
      </c>
    </row>
    <row r="10" spans="1:60" ht="240" x14ac:dyDescent="0.25">
      <c r="A10" s="2">
        <v>4</v>
      </c>
      <c r="B10" s="30" t="s">
        <v>100</v>
      </c>
      <c r="C10" s="2">
        <v>90549776</v>
      </c>
      <c r="D10" s="2" t="s">
        <v>9</v>
      </c>
      <c r="E10" s="2" t="s">
        <v>9</v>
      </c>
      <c r="F10" s="2" t="s">
        <v>9</v>
      </c>
      <c r="G10" s="2" t="s">
        <v>52</v>
      </c>
      <c r="H10" s="2" t="s">
        <v>9</v>
      </c>
      <c r="I10" s="3" t="s">
        <v>163</v>
      </c>
      <c r="J10" s="13" t="s">
        <v>9</v>
      </c>
      <c r="K10" s="14"/>
      <c r="L10" s="13" t="s">
        <v>9</v>
      </c>
      <c r="M10" s="14"/>
      <c r="N10" s="16" t="s">
        <v>9</v>
      </c>
      <c r="O10" s="13" t="s">
        <v>9</v>
      </c>
      <c r="P10" s="13"/>
      <c r="Q10" s="16" t="s">
        <v>9</v>
      </c>
      <c r="R10" s="13" t="s">
        <v>9</v>
      </c>
      <c r="S10" s="14"/>
      <c r="T10" s="13" t="s">
        <v>9</v>
      </c>
      <c r="U10" s="14"/>
      <c r="V10" s="13" t="s">
        <v>9</v>
      </c>
      <c r="W10" s="14"/>
      <c r="X10" s="13" t="s">
        <v>9</v>
      </c>
      <c r="Y10" s="14"/>
      <c r="Z10" s="16" t="s">
        <v>9</v>
      </c>
      <c r="AA10" s="13" t="s">
        <v>9</v>
      </c>
      <c r="AB10" s="14"/>
      <c r="AC10" s="13" t="s">
        <v>9</v>
      </c>
      <c r="AD10" s="15"/>
      <c r="AE10" s="16" t="s">
        <v>9</v>
      </c>
      <c r="AF10" s="13" t="s">
        <v>9</v>
      </c>
      <c r="AG10" s="14"/>
      <c r="AH10" s="16" t="s">
        <v>9</v>
      </c>
      <c r="AI10" s="13"/>
      <c r="AJ10" s="13"/>
      <c r="AK10" s="13"/>
      <c r="AL10" s="13"/>
      <c r="AM10" s="13"/>
      <c r="AN10" s="13"/>
      <c r="AO10" s="16"/>
      <c r="AP10" s="17">
        <v>36</v>
      </c>
      <c r="AQ10" s="17">
        <v>0</v>
      </c>
      <c r="AR10" s="17">
        <v>0</v>
      </c>
      <c r="AS10" s="17">
        <v>0</v>
      </c>
      <c r="AT10" s="17">
        <v>6</v>
      </c>
    </row>
    <row r="11" spans="1:60" ht="90" x14ac:dyDescent="0.25">
      <c r="A11" s="2">
        <v>5</v>
      </c>
      <c r="B11" s="30" t="s">
        <v>101</v>
      </c>
      <c r="C11" s="2">
        <v>90549529</v>
      </c>
      <c r="D11" s="2"/>
      <c r="E11" s="2"/>
      <c r="F11" s="2"/>
      <c r="G11" s="2"/>
      <c r="H11" s="2"/>
      <c r="I11" s="4"/>
      <c r="J11" s="13"/>
      <c r="K11" s="14"/>
      <c r="L11" s="13"/>
      <c r="M11" s="14"/>
      <c r="N11" s="16"/>
      <c r="O11" s="13"/>
      <c r="P11" s="13"/>
      <c r="Q11" s="16"/>
      <c r="R11" s="13"/>
      <c r="S11" s="14"/>
      <c r="T11" s="13"/>
      <c r="U11" s="14"/>
      <c r="V11" s="13"/>
      <c r="W11" s="14"/>
      <c r="X11" s="13"/>
      <c r="Y11" s="14"/>
      <c r="Z11" s="16"/>
      <c r="AA11" s="13"/>
      <c r="AB11" s="14"/>
      <c r="AC11" s="13"/>
      <c r="AD11" s="15"/>
      <c r="AE11" s="16"/>
      <c r="AF11" s="13"/>
      <c r="AG11" s="14"/>
      <c r="AH11" s="16"/>
      <c r="AI11" s="13"/>
      <c r="AJ11" s="13"/>
      <c r="AK11" s="13"/>
      <c r="AL11" s="13"/>
      <c r="AM11" s="13"/>
      <c r="AN11" s="13"/>
      <c r="AO11" s="16"/>
      <c r="AP11" s="17">
        <v>0</v>
      </c>
      <c r="AQ11" s="17">
        <v>0</v>
      </c>
      <c r="AR11" s="17">
        <v>0</v>
      </c>
      <c r="AS11" s="17">
        <v>26</v>
      </c>
      <c r="AT11" s="17">
        <v>16</v>
      </c>
    </row>
    <row r="12" spans="1:60" ht="195" x14ac:dyDescent="0.25">
      <c r="A12" s="2">
        <v>6</v>
      </c>
      <c r="B12" s="30" t="s">
        <v>102</v>
      </c>
      <c r="C12" s="2">
        <v>90544159</v>
      </c>
      <c r="D12" s="2" t="s">
        <v>9</v>
      </c>
      <c r="E12" s="2" t="s">
        <v>9</v>
      </c>
      <c r="F12" s="2" t="s">
        <v>52</v>
      </c>
      <c r="G12" s="2" t="s">
        <v>52</v>
      </c>
      <c r="H12" s="2" t="s">
        <v>9</v>
      </c>
      <c r="I12" s="3" t="s">
        <v>164</v>
      </c>
      <c r="J12" s="13" t="s">
        <v>9</v>
      </c>
      <c r="K12" s="14"/>
      <c r="L12" s="13" t="s">
        <v>9</v>
      </c>
      <c r="M12" s="14"/>
      <c r="N12" s="16" t="s">
        <v>9</v>
      </c>
      <c r="O12" s="13" t="s">
        <v>52</v>
      </c>
      <c r="P12" s="13"/>
      <c r="Q12" s="16" t="s">
        <v>52</v>
      </c>
      <c r="R12" s="13" t="s">
        <v>9</v>
      </c>
      <c r="S12" s="14"/>
      <c r="T12" s="13" t="s">
        <v>52</v>
      </c>
      <c r="U12" s="14"/>
      <c r="V12" s="13" t="s">
        <v>9</v>
      </c>
      <c r="W12" s="14"/>
      <c r="X12" s="13" t="s">
        <v>9</v>
      </c>
      <c r="Y12" s="14"/>
      <c r="Z12" s="16" t="s">
        <v>9</v>
      </c>
      <c r="AA12" s="13" t="s">
        <v>9</v>
      </c>
      <c r="AB12" s="14"/>
      <c r="AC12" s="13" t="s">
        <v>9</v>
      </c>
      <c r="AD12" s="15"/>
      <c r="AE12" s="16" t="s">
        <v>9</v>
      </c>
      <c r="AF12" s="13" t="s">
        <v>9</v>
      </c>
      <c r="AG12" s="14"/>
      <c r="AH12" s="16" t="s">
        <v>9</v>
      </c>
      <c r="AI12" s="13"/>
      <c r="AJ12" s="13"/>
      <c r="AK12" s="13"/>
      <c r="AL12" s="13"/>
      <c r="AM12" s="13"/>
      <c r="AN12" s="13"/>
      <c r="AO12" s="16"/>
      <c r="AP12" s="17">
        <v>37</v>
      </c>
      <c r="AQ12" s="17">
        <v>0</v>
      </c>
      <c r="AR12" s="17">
        <v>0</v>
      </c>
      <c r="AS12" s="17">
        <v>0</v>
      </c>
      <c r="AT12" s="17">
        <v>5</v>
      </c>
    </row>
    <row r="13" spans="1:60" ht="240" x14ac:dyDescent="0.25">
      <c r="A13" s="2">
        <v>7</v>
      </c>
      <c r="B13" s="30" t="s">
        <v>103</v>
      </c>
      <c r="C13" s="2">
        <v>90733280</v>
      </c>
      <c r="D13" s="2" t="s">
        <v>9</v>
      </c>
      <c r="E13" s="2" t="s">
        <v>9</v>
      </c>
      <c r="F13" s="2" t="s">
        <v>52</v>
      </c>
      <c r="G13" s="2" t="s">
        <v>52</v>
      </c>
      <c r="H13" s="2" t="s">
        <v>9</v>
      </c>
      <c r="I13" s="3" t="s">
        <v>170</v>
      </c>
      <c r="J13" s="13" t="s">
        <v>9</v>
      </c>
      <c r="K13" s="14"/>
      <c r="L13" s="13" t="s">
        <v>9</v>
      </c>
      <c r="M13" s="14"/>
      <c r="N13" s="16" t="s">
        <v>9</v>
      </c>
      <c r="O13" s="13" t="s">
        <v>9</v>
      </c>
      <c r="P13" s="13"/>
      <c r="Q13" s="16" t="s">
        <v>9</v>
      </c>
      <c r="R13" s="13" t="s">
        <v>9</v>
      </c>
      <c r="S13" s="14"/>
      <c r="T13" s="13" t="s">
        <v>9</v>
      </c>
      <c r="U13" s="14"/>
      <c r="V13" s="13" t="s">
        <v>9</v>
      </c>
      <c r="W13" s="14"/>
      <c r="X13" s="13" t="s">
        <v>9</v>
      </c>
      <c r="Y13" s="14"/>
      <c r="Z13" s="16" t="s">
        <v>9</v>
      </c>
      <c r="AA13" s="13" t="s">
        <v>9</v>
      </c>
      <c r="AB13" s="14"/>
      <c r="AC13" s="13" t="s">
        <v>9</v>
      </c>
      <c r="AD13" s="15"/>
      <c r="AE13" s="16" t="s">
        <v>9</v>
      </c>
      <c r="AF13" s="13" t="s">
        <v>9</v>
      </c>
      <c r="AG13" s="14"/>
      <c r="AH13" s="16" t="s">
        <v>9</v>
      </c>
      <c r="AI13" s="13"/>
      <c r="AJ13" s="13"/>
      <c r="AK13" s="13"/>
      <c r="AL13" s="13"/>
      <c r="AM13" s="13"/>
      <c r="AN13" s="13"/>
      <c r="AO13" s="16"/>
      <c r="AP13" s="17">
        <v>37</v>
      </c>
      <c r="AQ13" s="17">
        <v>0</v>
      </c>
      <c r="AR13" s="17">
        <v>0</v>
      </c>
      <c r="AS13" s="17">
        <v>0</v>
      </c>
      <c r="AT13" s="17">
        <v>5</v>
      </c>
    </row>
    <row r="14" spans="1:60" ht="225" x14ac:dyDescent="0.25">
      <c r="A14" s="2">
        <v>8</v>
      </c>
      <c r="B14" s="30" t="s">
        <v>104</v>
      </c>
      <c r="C14" s="2">
        <v>90711756</v>
      </c>
      <c r="D14" s="2" t="s">
        <v>9</v>
      </c>
      <c r="E14" s="2" t="s">
        <v>9</v>
      </c>
      <c r="F14" s="2" t="s">
        <v>9</v>
      </c>
      <c r="G14" s="2" t="s">
        <v>9</v>
      </c>
      <c r="H14" s="2" t="s">
        <v>9</v>
      </c>
      <c r="I14" s="3" t="s">
        <v>171</v>
      </c>
      <c r="J14" s="13" t="s">
        <v>9</v>
      </c>
      <c r="K14" s="14"/>
      <c r="L14" s="13" t="s">
        <v>52</v>
      </c>
      <c r="M14" s="14"/>
      <c r="N14" s="16" t="s">
        <v>52</v>
      </c>
      <c r="O14" s="13" t="s">
        <v>9</v>
      </c>
      <c r="P14" s="13"/>
      <c r="Q14" s="16" t="s">
        <v>9</v>
      </c>
      <c r="R14" s="13" t="s">
        <v>52</v>
      </c>
      <c r="S14" s="14"/>
      <c r="T14" s="13" t="s">
        <v>52</v>
      </c>
      <c r="U14" s="14"/>
      <c r="V14" s="13" t="s">
        <v>9</v>
      </c>
      <c r="W14" s="14"/>
      <c r="X14" s="13" t="s">
        <v>9</v>
      </c>
      <c r="Y14" s="14"/>
      <c r="Z14" s="16" t="s">
        <v>52</v>
      </c>
      <c r="AA14" s="13" t="s">
        <v>9</v>
      </c>
      <c r="AB14" s="14"/>
      <c r="AC14" s="13" t="s">
        <v>52</v>
      </c>
      <c r="AD14" s="15"/>
      <c r="AE14" s="16" t="s">
        <v>52</v>
      </c>
      <c r="AF14" s="13" t="s">
        <v>52</v>
      </c>
      <c r="AG14" s="14"/>
      <c r="AH14" s="16" t="s">
        <v>52</v>
      </c>
      <c r="AI14" s="13"/>
      <c r="AJ14" s="13"/>
      <c r="AK14" s="13"/>
      <c r="AL14" s="13"/>
      <c r="AM14" s="13"/>
      <c r="AN14" s="13"/>
      <c r="AO14" s="16"/>
      <c r="AP14" s="17">
        <v>27</v>
      </c>
      <c r="AQ14" s="17">
        <v>0</v>
      </c>
      <c r="AR14" s="17">
        <v>0</v>
      </c>
      <c r="AS14" s="17">
        <v>0</v>
      </c>
      <c r="AT14" s="17">
        <v>15</v>
      </c>
    </row>
    <row r="15" spans="1:60" ht="210" x14ac:dyDescent="0.25">
      <c r="A15" s="2">
        <v>9</v>
      </c>
      <c r="B15" s="30" t="s">
        <v>105</v>
      </c>
      <c r="C15" s="2">
        <v>90622324</v>
      </c>
      <c r="D15" s="2" t="s">
        <v>9</v>
      </c>
      <c r="E15" s="2" t="s">
        <v>9</v>
      </c>
      <c r="F15" s="2" t="s">
        <v>9</v>
      </c>
      <c r="G15" s="2" t="s">
        <v>9</v>
      </c>
      <c r="H15" s="2" t="s">
        <v>9</v>
      </c>
      <c r="I15" s="3" t="s">
        <v>165</v>
      </c>
      <c r="J15" s="13" t="s">
        <v>9</v>
      </c>
      <c r="K15" s="14"/>
      <c r="L15" s="13" t="s">
        <v>9</v>
      </c>
      <c r="M15" s="14"/>
      <c r="N15" s="16" t="s">
        <v>9</v>
      </c>
      <c r="O15" s="13" t="s">
        <v>9</v>
      </c>
      <c r="P15" s="13"/>
      <c r="Q15" s="16" t="s">
        <v>9</v>
      </c>
      <c r="R15" s="13" t="s">
        <v>9</v>
      </c>
      <c r="S15" s="14"/>
      <c r="T15" s="13" t="s">
        <v>9</v>
      </c>
      <c r="U15" s="14"/>
      <c r="V15" s="13" t="s">
        <v>9</v>
      </c>
      <c r="W15" s="14"/>
      <c r="X15" s="13" t="s">
        <v>9</v>
      </c>
      <c r="Y15" s="14"/>
      <c r="Z15" s="16" t="s">
        <v>9</v>
      </c>
      <c r="AA15" s="13" t="s">
        <v>9</v>
      </c>
      <c r="AB15" s="14"/>
      <c r="AC15" s="13" t="s">
        <v>9</v>
      </c>
      <c r="AD15" s="15"/>
      <c r="AE15" s="16" t="s">
        <v>9</v>
      </c>
      <c r="AF15" s="13" t="s">
        <v>9</v>
      </c>
      <c r="AG15" s="14"/>
      <c r="AH15" s="16" t="s">
        <v>9</v>
      </c>
      <c r="AI15" s="13"/>
      <c r="AJ15" s="13"/>
      <c r="AK15" s="13"/>
      <c r="AL15" s="13"/>
      <c r="AM15" s="13"/>
      <c r="AN15" s="13"/>
      <c r="AO15" s="16"/>
      <c r="AP15" s="17">
        <v>30</v>
      </c>
      <c r="AQ15" s="17">
        <v>0</v>
      </c>
      <c r="AR15" s="17">
        <v>0</v>
      </c>
      <c r="AS15" s="17">
        <v>0</v>
      </c>
      <c r="AT15" s="17">
        <v>12</v>
      </c>
    </row>
    <row r="16" spans="1:60" ht="180" x14ac:dyDescent="0.25">
      <c r="A16" s="2">
        <v>10</v>
      </c>
      <c r="B16" s="30" t="s">
        <v>106</v>
      </c>
      <c r="C16" s="2">
        <v>90638291</v>
      </c>
      <c r="D16" s="2" t="s">
        <v>9</v>
      </c>
      <c r="E16" s="2" t="s">
        <v>9</v>
      </c>
      <c r="F16" s="2" t="s">
        <v>9</v>
      </c>
      <c r="G16" s="2" t="s">
        <v>9</v>
      </c>
      <c r="H16" s="2" t="s">
        <v>9</v>
      </c>
      <c r="I16" s="3" t="s">
        <v>172</v>
      </c>
      <c r="J16" s="13" t="s">
        <v>9</v>
      </c>
      <c r="K16" s="14"/>
      <c r="L16" s="13" t="s">
        <v>9</v>
      </c>
      <c r="M16" s="14"/>
      <c r="N16" s="16" t="s">
        <v>9</v>
      </c>
      <c r="O16" s="13" t="s">
        <v>9</v>
      </c>
      <c r="P16" s="13"/>
      <c r="Q16" s="16" t="s">
        <v>9</v>
      </c>
      <c r="R16" s="13" t="s">
        <v>9</v>
      </c>
      <c r="S16" s="14"/>
      <c r="T16" s="13" t="s">
        <v>9</v>
      </c>
      <c r="U16" s="14"/>
      <c r="V16" s="13" t="s">
        <v>9</v>
      </c>
      <c r="W16" s="14"/>
      <c r="X16" s="13" t="s">
        <v>9</v>
      </c>
      <c r="Y16" s="14"/>
      <c r="Z16" s="16" t="s">
        <v>9</v>
      </c>
      <c r="AA16" s="13" t="s">
        <v>9</v>
      </c>
      <c r="AB16" s="14"/>
      <c r="AC16" s="13" t="s">
        <v>9</v>
      </c>
      <c r="AD16" s="15"/>
      <c r="AE16" s="16" t="s">
        <v>9</v>
      </c>
      <c r="AF16" s="13" t="s">
        <v>9</v>
      </c>
      <c r="AG16" s="14"/>
      <c r="AH16" s="16" t="s">
        <v>9</v>
      </c>
      <c r="AI16" s="13"/>
      <c r="AJ16" s="13"/>
      <c r="AK16" s="13"/>
      <c r="AL16" s="13"/>
      <c r="AM16" s="13"/>
      <c r="AN16" s="13"/>
      <c r="AO16" s="16"/>
      <c r="AP16" s="17">
        <v>37</v>
      </c>
      <c r="AQ16" s="17">
        <v>0</v>
      </c>
      <c r="AR16" s="17">
        <v>0</v>
      </c>
      <c r="AS16" s="17">
        <v>0</v>
      </c>
      <c r="AT16" s="17">
        <v>5</v>
      </c>
    </row>
    <row r="17" spans="1:46" ht="270" x14ac:dyDescent="0.25">
      <c r="A17" s="2">
        <v>11</v>
      </c>
      <c r="B17" s="30" t="s">
        <v>107</v>
      </c>
      <c r="C17" s="2">
        <v>90948003</v>
      </c>
      <c r="D17" s="2" t="s">
        <v>52</v>
      </c>
      <c r="E17" s="2" t="s">
        <v>52</v>
      </c>
      <c r="F17" s="2" t="s">
        <v>52</v>
      </c>
      <c r="G17" s="2" t="s">
        <v>9</v>
      </c>
      <c r="H17" s="2" t="s">
        <v>9</v>
      </c>
      <c r="I17" s="3" t="s">
        <v>166</v>
      </c>
      <c r="J17" s="13" t="s">
        <v>9</v>
      </c>
      <c r="K17" s="14"/>
      <c r="L17" s="13" t="s">
        <v>52</v>
      </c>
      <c r="M17" s="14"/>
      <c r="N17" s="16" t="s">
        <v>52</v>
      </c>
      <c r="O17" s="13" t="s">
        <v>52</v>
      </c>
      <c r="P17" s="13"/>
      <c r="Q17" s="16" t="s">
        <v>52</v>
      </c>
      <c r="R17" s="13" t="s">
        <v>9</v>
      </c>
      <c r="S17" s="14"/>
      <c r="T17" s="13" t="s">
        <v>52</v>
      </c>
      <c r="U17" s="14"/>
      <c r="V17" s="13" t="s">
        <v>9</v>
      </c>
      <c r="W17" s="14"/>
      <c r="X17" s="13" t="s">
        <v>9</v>
      </c>
      <c r="Y17" s="14"/>
      <c r="Z17" s="16" t="s">
        <v>9</v>
      </c>
      <c r="AA17" s="13" t="s">
        <v>9</v>
      </c>
      <c r="AB17" s="14"/>
      <c r="AC17" s="13" t="s">
        <v>9</v>
      </c>
      <c r="AD17" s="15"/>
      <c r="AE17" s="16" t="s">
        <v>9</v>
      </c>
      <c r="AF17" s="13" t="s">
        <v>9</v>
      </c>
      <c r="AG17" s="14"/>
      <c r="AH17" s="16" t="s">
        <v>9</v>
      </c>
      <c r="AI17" s="13"/>
      <c r="AJ17" s="13"/>
      <c r="AK17" s="13"/>
      <c r="AL17" s="13"/>
      <c r="AM17" s="13"/>
      <c r="AN17" s="13"/>
      <c r="AO17" s="16"/>
      <c r="AP17" s="17">
        <v>36</v>
      </c>
      <c r="AQ17" s="17">
        <v>0</v>
      </c>
      <c r="AR17" s="17">
        <v>0</v>
      </c>
      <c r="AS17" s="17">
        <v>2</v>
      </c>
      <c r="AT17" s="17">
        <v>4</v>
      </c>
    </row>
    <row r="18" spans="1:46" ht="135" x14ac:dyDescent="0.25">
      <c r="A18" s="2">
        <v>12</v>
      </c>
      <c r="B18" s="30" t="s">
        <v>108</v>
      </c>
      <c r="C18" s="2">
        <v>90176103</v>
      </c>
      <c r="D18" s="2" t="s">
        <v>9</v>
      </c>
      <c r="E18" s="2" t="s">
        <v>9</v>
      </c>
      <c r="F18" s="2" t="s">
        <v>9</v>
      </c>
      <c r="G18" s="2" t="s">
        <v>52</v>
      </c>
      <c r="H18" s="2" t="s">
        <v>9</v>
      </c>
      <c r="I18" s="3" t="s">
        <v>175</v>
      </c>
      <c r="J18" s="13" t="s">
        <v>9</v>
      </c>
      <c r="K18" s="14"/>
      <c r="L18" s="13" t="s">
        <v>9</v>
      </c>
      <c r="M18" s="14"/>
      <c r="N18" s="16" t="s">
        <v>9</v>
      </c>
      <c r="O18" s="13" t="s">
        <v>9</v>
      </c>
      <c r="P18" s="13"/>
      <c r="Q18" s="16" t="s">
        <v>9</v>
      </c>
      <c r="R18" s="13" t="s">
        <v>9</v>
      </c>
      <c r="S18" s="14"/>
      <c r="T18" s="13" t="s">
        <v>9</v>
      </c>
      <c r="U18" s="14"/>
      <c r="V18" s="13" t="s">
        <v>9</v>
      </c>
      <c r="W18" s="14"/>
      <c r="X18" s="13" t="s">
        <v>9</v>
      </c>
      <c r="Y18" s="14"/>
      <c r="Z18" s="16" t="s">
        <v>9</v>
      </c>
      <c r="AA18" s="13" t="s">
        <v>9</v>
      </c>
      <c r="AB18" s="14"/>
      <c r="AC18" s="13" t="s">
        <v>9</v>
      </c>
      <c r="AD18" s="15"/>
      <c r="AE18" s="16" t="s">
        <v>9</v>
      </c>
      <c r="AF18" s="13" t="s">
        <v>9</v>
      </c>
      <c r="AG18" s="14"/>
      <c r="AH18" s="16" t="s">
        <v>9</v>
      </c>
      <c r="AI18" s="13"/>
      <c r="AJ18" s="13"/>
      <c r="AK18" s="13"/>
      <c r="AL18" s="13"/>
      <c r="AM18" s="13"/>
      <c r="AN18" s="13"/>
      <c r="AO18" s="16"/>
      <c r="AP18" s="17">
        <v>36</v>
      </c>
      <c r="AQ18" s="17">
        <v>0</v>
      </c>
      <c r="AR18" s="17">
        <v>0</v>
      </c>
      <c r="AS18" s="17">
        <v>1</v>
      </c>
      <c r="AT18" s="17">
        <v>5</v>
      </c>
    </row>
    <row r="19" spans="1:46" ht="150" x14ac:dyDescent="0.25">
      <c r="A19" s="2">
        <v>13</v>
      </c>
      <c r="B19" s="30" t="s">
        <v>109</v>
      </c>
      <c r="C19" s="2">
        <v>90334943</v>
      </c>
      <c r="D19" s="2" t="s">
        <v>9</v>
      </c>
      <c r="E19" s="2" t="s">
        <v>9</v>
      </c>
      <c r="F19" s="2" t="s">
        <v>9</v>
      </c>
      <c r="G19" s="2" t="s">
        <v>9</v>
      </c>
      <c r="H19" s="2" t="s">
        <v>9</v>
      </c>
      <c r="I19" s="3" t="s">
        <v>176</v>
      </c>
      <c r="J19" s="13" t="s">
        <v>9</v>
      </c>
      <c r="K19" s="14"/>
      <c r="L19" s="13" t="s">
        <v>9</v>
      </c>
      <c r="M19" s="14"/>
      <c r="N19" s="16" t="s">
        <v>9</v>
      </c>
      <c r="O19" s="13" t="s">
        <v>9</v>
      </c>
      <c r="P19" s="13"/>
      <c r="Q19" s="16" t="s">
        <v>9</v>
      </c>
      <c r="R19" s="13" t="s">
        <v>9</v>
      </c>
      <c r="S19" s="14"/>
      <c r="T19" s="13" t="s">
        <v>9</v>
      </c>
      <c r="U19" s="14"/>
      <c r="V19" s="13" t="s">
        <v>9</v>
      </c>
      <c r="W19" s="14"/>
      <c r="X19" s="13" t="s">
        <v>9</v>
      </c>
      <c r="Y19" s="14"/>
      <c r="Z19" s="16" t="s">
        <v>9</v>
      </c>
      <c r="AA19" s="13" t="s">
        <v>9</v>
      </c>
      <c r="AB19" s="14"/>
      <c r="AC19" s="13" t="s">
        <v>9</v>
      </c>
      <c r="AD19" s="15"/>
      <c r="AE19" s="16" t="s">
        <v>9</v>
      </c>
      <c r="AF19" s="13" t="s">
        <v>9</v>
      </c>
      <c r="AG19" s="14"/>
      <c r="AH19" s="16" t="s">
        <v>9</v>
      </c>
      <c r="AI19" s="13"/>
      <c r="AJ19" s="13"/>
      <c r="AK19" s="13"/>
      <c r="AL19" s="13"/>
      <c r="AM19" s="13"/>
      <c r="AN19" s="13"/>
      <c r="AO19" s="16"/>
      <c r="AP19" s="17">
        <v>38</v>
      </c>
      <c r="AQ19" s="17">
        <v>0</v>
      </c>
      <c r="AR19" s="17">
        <v>0</v>
      </c>
      <c r="AS19" s="17">
        <v>0</v>
      </c>
      <c r="AT19" s="17">
        <v>4</v>
      </c>
    </row>
    <row r="20" spans="1:46" ht="240" x14ac:dyDescent="0.25">
      <c r="A20" s="2">
        <v>14</v>
      </c>
      <c r="B20" s="30" t="s">
        <v>110</v>
      </c>
      <c r="C20" s="2">
        <v>90711556</v>
      </c>
      <c r="D20" s="2" t="s">
        <v>9</v>
      </c>
      <c r="E20" s="2" t="s">
        <v>9</v>
      </c>
      <c r="F20" s="2" t="s">
        <v>9</v>
      </c>
      <c r="G20" s="2" t="s">
        <v>9</v>
      </c>
      <c r="H20" s="2" t="s">
        <v>9</v>
      </c>
      <c r="I20" s="3" t="s">
        <v>167</v>
      </c>
      <c r="J20" s="13" t="s">
        <v>9</v>
      </c>
      <c r="K20" s="14"/>
      <c r="L20" s="13" t="s">
        <v>9</v>
      </c>
      <c r="M20" s="14"/>
      <c r="N20" s="16" t="s">
        <v>9</v>
      </c>
      <c r="O20" s="13" t="s">
        <v>9</v>
      </c>
      <c r="P20" s="13"/>
      <c r="Q20" s="16" t="s">
        <v>9</v>
      </c>
      <c r="R20" s="13" t="s">
        <v>9</v>
      </c>
      <c r="S20" s="14"/>
      <c r="T20" s="13" t="s">
        <v>9</v>
      </c>
      <c r="U20" s="14"/>
      <c r="V20" s="13" t="s">
        <v>9</v>
      </c>
      <c r="W20" s="14"/>
      <c r="X20" s="13" t="s">
        <v>9</v>
      </c>
      <c r="Y20" s="14"/>
      <c r="Z20" s="16" t="s">
        <v>9</v>
      </c>
      <c r="AA20" s="13" t="s">
        <v>9</v>
      </c>
      <c r="AB20" s="14"/>
      <c r="AC20" s="13" t="s">
        <v>9</v>
      </c>
      <c r="AD20" s="15"/>
      <c r="AE20" s="16" t="s">
        <v>9</v>
      </c>
      <c r="AF20" s="13" t="s">
        <v>9</v>
      </c>
      <c r="AG20" s="14"/>
      <c r="AH20" s="16" t="s">
        <v>9</v>
      </c>
      <c r="AI20" s="13"/>
      <c r="AJ20" s="13"/>
      <c r="AK20" s="13"/>
      <c r="AL20" s="13"/>
      <c r="AM20" s="13"/>
      <c r="AN20" s="13"/>
      <c r="AO20" s="16"/>
      <c r="AP20" s="17">
        <v>40</v>
      </c>
      <c r="AQ20" s="17">
        <v>0</v>
      </c>
      <c r="AR20" s="17">
        <v>0</v>
      </c>
      <c r="AS20" s="17">
        <v>0</v>
      </c>
      <c r="AT20" s="17">
        <v>2</v>
      </c>
    </row>
    <row r="21" spans="1:46" ht="240" x14ac:dyDescent="0.25">
      <c r="A21" s="2">
        <v>15</v>
      </c>
      <c r="B21" s="30" t="s">
        <v>111</v>
      </c>
      <c r="C21" s="2">
        <v>90361940</v>
      </c>
      <c r="D21" s="2" t="s">
        <v>9</v>
      </c>
      <c r="E21" s="2" t="s">
        <v>9</v>
      </c>
      <c r="F21" s="2" t="s">
        <v>9</v>
      </c>
      <c r="G21" s="2" t="s">
        <v>9</v>
      </c>
      <c r="H21" s="2" t="s">
        <v>9</v>
      </c>
      <c r="I21" s="3" t="s">
        <v>168</v>
      </c>
      <c r="J21" s="13" t="s">
        <v>9</v>
      </c>
      <c r="K21" s="14"/>
      <c r="L21" s="13" t="s">
        <v>9</v>
      </c>
      <c r="M21" s="14"/>
      <c r="N21" s="16" t="s">
        <v>9</v>
      </c>
      <c r="O21" s="13" t="s">
        <v>9</v>
      </c>
      <c r="P21" s="13"/>
      <c r="Q21" s="16" t="s">
        <v>9</v>
      </c>
      <c r="R21" s="13" t="s">
        <v>9</v>
      </c>
      <c r="S21" s="14"/>
      <c r="T21" s="13" t="s">
        <v>9</v>
      </c>
      <c r="U21" s="14"/>
      <c r="V21" s="13" t="s">
        <v>9</v>
      </c>
      <c r="W21" s="14"/>
      <c r="X21" s="13" t="s">
        <v>9</v>
      </c>
      <c r="Y21" s="14"/>
      <c r="Z21" s="16" t="s">
        <v>9</v>
      </c>
      <c r="AA21" s="13" t="s">
        <v>9</v>
      </c>
      <c r="AB21" s="14"/>
      <c r="AC21" s="13" t="s">
        <v>9</v>
      </c>
      <c r="AD21" s="15"/>
      <c r="AE21" s="16" t="s">
        <v>9</v>
      </c>
      <c r="AF21" s="13" t="s">
        <v>9</v>
      </c>
      <c r="AG21" s="14"/>
      <c r="AH21" s="16" t="s">
        <v>9</v>
      </c>
      <c r="AI21" s="13"/>
      <c r="AJ21" s="13"/>
      <c r="AK21" s="13"/>
      <c r="AL21" s="13"/>
      <c r="AM21" s="13"/>
      <c r="AN21" s="13"/>
      <c r="AO21" s="16"/>
      <c r="AP21" s="17">
        <v>40</v>
      </c>
      <c r="AQ21" s="17">
        <v>0</v>
      </c>
      <c r="AR21" s="17">
        <v>0</v>
      </c>
      <c r="AS21" s="17">
        <v>0</v>
      </c>
      <c r="AT21" s="17">
        <v>2</v>
      </c>
    </row>
    <row r="22" spans="1:46" ht="60" x14ac:dyDescent="0.25">
      <c r="A22" s="2">
        <v>16</v>
      </c>
      <c r="B22" s="30" t="s">
        <v>112</v>
      </c>
      <c r="C22" s="2">
        <v>90535444</v>
      </c>
      <c r="D22" s="2"/>
      <c r="E22" s="2"/>
      <c r="F22" s="2"/>
      <c r="G22" s="2"/>
      <c r="H22" s="2"/>
      <c r="I22" s="4"/>
      <c r="J22" s="13"/>
      <c r="K22" s="14"/>
      <c r="L22" s="13"/>
      <c r="M22" s="14"/>
      <c r="N22" s="16"/>
      <c r="O22" s="13"/>
      <c r="P22" s="13"/>
      <c r="Q22" s="16"/>
      <c r="R22" s="13"/>
      <c r="S22" s="14"/>
      <c r="T22" s="13"/>
      <c r="U22" s="14"/>
      <c r="V22" s="13"/>
      <c r="W22" s="14"/>
      <c r="X22" s="13"/>
      <c r="Y22" s="14"/>
      <c r="Z22" s="16"/>
      <c r="AA22" s="13"/>
      <c r="AB22" s="14"/>
      <c r="AC22" s="13"/>
      <c r="AD22" s="15"/>
      <c r="AE22" s="16"/>
      <c r="AF22" s="13"/>
      <c r="AG22" s="14"/>
      <c r="AH22" s="16"/>
      <c r="AI22" s="13"/>
      <c r="AJ22" s="13"/>
      <c r="AK22" s="13"/>
      <c r="AL22" s="13"/>
      <c r="AM22" s="13"/>
      <c r="AN22" s="13"/>
      <c r="AO22" s="16"/>
      <c r="AP22" s="17">
        <v>6</v>
      </c>
      <c r="AQ22" s="17">
        <v>0</v>
      </c>
      <c r="AR22" s="17">
        <v>0</v>
      </c>
      <c r="AS22" s="17">
        <v>19</v>
      </c>
      <c r="AT22" s="17">
        <v>17</v>
      </c>
    </row>
    <row r="23" spans="1:46" ht="180" x14ac:dyDescent="0.25">
      <c r="A23" s="2">
        <v>17</v>
      </c>
      <c r="B23" s="30" t="s">
        <v>113</v>
      </c>
      <c r="C23" s="2">
        <v>90337746</v>
      </c>
      <c r="D23" s="2" t="s">
        <v>9</v>
      </c>
      <c r="E23" s="2" t="s">
        <v>52</v>
      </c>
      <c r="F23" s="2" t="s">
        <v>9</v>
      </c>
      <c r="G23" s="2" t="s">
        <v>9</v>
      </c>
      <c r="H23" s="2" t="s">
        <v>9</v>
      </c>
      <c r="I23" s="3" t="s">
        <v>177</v>
      </c>
      <c r="J23" s="13" t="s">
        <v>9</v>
      </c>
      <c r="K23" s="14"/>
      <c r="L23" s="13" t="s">
        <v>9</v>
      </c>
      <c r="M23" s="14"/>
      <c r="N23" s="16" t="s">
        <v>9</v>
      </c>
      <c r="O23" s="13" t="s">
        <v>9</v>
      </c>
      <c r="P23" s="13"/>
      <c r="Q23" s="16" t="s">
        <v>9</v>
      </c>
      <c r="R23" s="13" t="s">
        <v>9</v>
      </c>
      <c r="S23" s="14"/>
      <c r="T23" s="13" t="s">
        <v>9</v>
      </c>
      <c r="U23" s="14"/>
      <c r="V23" s="13" t="s">
        <v>9</v>
      </c>
      <c r="W23" s="14"/>
      <c r="X23" s="13" t="s">
        <v>9</v>
      </c>
      <c r="Y23" s="14"/>
      <c r="Z23" s="16" t="s">
        <v>9</v>
      </c>
      <c r="AA23" s="13" t="s">
        <v>9</v>
      </c>
      <c r="AB23" s="14"/>
      <c r="AC23" s="13" t="s">
        <v>9</v>
      </c>
      <c r="AD23" s="15"/>
      <c r="AE23" s="16" t="s">
        <v>9</v>
      </c>
      <c r="AF23" s="13" t="s">
        <v>9</v>
      </c>
      <c r="AG23" s="14"/>
      <c r="AH23" s="16" t="s">
        <v>9</v>
      </c>
      <c r="AI23" s="13"/>
      <c r="AJ23" s="13"/>
      <c r="AK23" s="13"/>
      <c r="AL23" s="13"/>
      <c r="AM23" s="13"/>
      <c r="AN23" s="13"/>
      <c r="AO23" s="16"/>
      <c r="AP23" s="17">
        <v>30</v>
      </c>
      <c r="AQ23" s="17">
        <v>0</v>
      </c>
      <c r="AR23" s="17">
        <v>0</v>
      </c>
      <c r="AS23" s="17">
        <v>11</v>
      </c>
      <c r="AT23" s="17">
        <v>1</v>
      </c>
    </row>
    <row r="24" spans="1:46" ht="210" x14ac:dyDescent="0.25">
      <c r="A24" s="2">
        <v>18</v>
      </c>
      <c r="B24" s="30" t="s">
        <v>114</v>
      </c>
      <c r="C24" s="2">
        <v>90568545</v>
      </c>
      <c r="D24" s="2" t="s">
        <v>52</v>
      </c>
      <c r="E24" s="2" t="s">
        <v>52</v>
      </c>
      <c r="F24" s="2" t="s">
        <v>9</v>
      </c>
      <c r="G24" s="2" t="s">
        <v>9</v>
      </c>
      <c r="H24" s="2" t="s">
        <v>9</v>
      </c>
      <c r="I24" s="3" t="s">
        <v>178</v>
      </c>
      <c r="J24" s="13" t="s">
        <v>9</v>
      </c>
      <c r="K24" s="14"/>
      <c r="L24" s="13" t="s">
        <v>9</v>
      </c>
      <c r="M24" s="14"/>
      <c r="N24" s="16" t="s">
        <v>9</v>
      </c>
      <c r="O24" s="13" t="s">
        <v>9</v>
      </c>
      <c r="P24" s="13"/>
      <c r="Q24" s="16" t="s">
        <v>9</v>
      </c>
      <c r="R24" s="13" t="s">
        <v>9</v>
      </c>
      <c r="S24" s="14"/>
      <c r="T24" s="13" t="s">
        <v>9</v>
      </c>
      <c r="U24" s="14"/>
      <c r="V24" s="13" t="s">
        <v>9</v>
      </c>
      <c r="W24" s="14"/>
      <c r="X24" s="13" t="s">
        <v>9</v>
      </c>
      <c r="Y24" s="14"/>
      <c r="Z24" s="16" t="s">
        <v>9</v>
      </c>
      <c r="AA24" s="13" t="s">
        <v>9</v>
      </c>
      <c r="AB24" s="14"/>
      <c r="AC24" s="13" t="s">
        <v>9</v>
      </c>
      <c r="AD24" s="15"/>
      <c r="AE24" s="16" t="s">
        <v>9</v>
      </c>
      <c r="AF24" s="13" t="s">
        <v>9</v>
      </c>
      <c r="AG24" s="14"/>
      <c r="AH24" s="16" t="s">
        <v>9</v>
      </c>
      <c r="AI24" s="13"/>
      <c r="AJ24" s="13"/>
      <c r="AK24" s="13"/>
      <c r="AL24" s="13"/>
      <c r="AM24" s="13"/>
      <c r="AN24" s="13"/>
      <c r="AO24" s="16"/>
      <c r="AP24" s="17">
        <v>29</v>
      </c>
      <c r="AQ24" s="17">
        <v>0</v>
      </c>
      <c r="AR24" s="17">
        <v>0</v>
      </c>
      <c r="AS24" s="17">
        <v>4</v>
      </c>
      <c r="AT24" s="17">
        <v>9</v>
      </c>
    </row>
    <row r="25" spans="1:46" ht="240" x14ac:dyDescent="0.25">
      <c r="A25" s="2">
        <v>19</v>
      </c>
      <c r="B25" s="30" t="s">
        <v>115</v>
      </c>
      <c r="C25" s="2">
        <v>90512463</v>
      </c>
      <c r="D25" s="2" t="s">
        <v>9</v>
      </c>
      <c r="E25" s="2" t="s">
        <v>9</v>
      </c>
      <c r="F25" s="2" t="s">
        <v>9</v>
      </c>
      <c r="G25" s="2" t="s">
        <v>9</v>
      </c>
      <c r="H25" s="2" t="s">
        <v>9</v>
      </c>
      <c r="I25" s="3" t="s">
        <v>179</v>
      </c>
      <c r="J25" s="13" t="s">
        <v>9</v>
      </c>
      <c r="K25" s="14"/>
      <c r="L25" s="13" t="s">
        <v>9</v>
      </c>
      <c r="M25" s="14"/>
      <c r="N25" s="16" t="s">
        <v>9</v>
      </c>
      <c r="O25" s="13" t="s">
        <v>9</v>
      </c>
      <c r="P25" s="13"/>
      <c r="Q25" s="16" t="s">
        <v>9</v>
      </c>
      <c r="R25" s="13" t="s">
        <v>9</v>
      </c>
      <c r="S25" s="14"/>
      <c r="T25" s="13" t="s">
        <v>9</v>
      </c>
      <c r="U25" s="14"/>
      <c r="V25" s="13" t="s">
        <v>9</v>
      </c>
      <c r="W25" s="14"/>
      <c r="X25" s="13" t="s">
        <v>9</v>
      </c>
      <c r="Y25" s="14"/>
      <c r="Z25" s="16" t="s">
        <v>9</v>
      </c>
      <c r="AA25" s="13" t="s">
        <v>9</v>
      </c>
      <c r="AB25" s="14"/>
      <c r="AC25" s="13" t="s">
        <v>9</v>
      </c>
      <c r="AD25" s="15"/>
      <c r="AE25" s="16" t="s">
        <v>9</v>
      </c>
      <c r="AF25" s="13" t="s">
        <v>9</v>
      </c>
      <c r="AG25" s="14"/>
      <c r="AH25" s="16" t="s">
        <v>9</v>
      </c>
      <c r="AI25" s="13"/>
      <c r="AJ25" s="13"/>
      <c r="AK25" s="13"/>
      <c r="AL25" s="13"/>
      <c r="AM25" s="13"/>
      <c r="AN25" s="13"/>
      <c r="AO25" s="16"/>
      <c r="AP25" s="17">
        <v>39</v>
      </c>
      <c r="AQ25" s="17">
        <v>0</v>
      </c>
      <c r="AR25" s="17">
        <v>0</v>
      </c>
      <c r="AS25" s="17">
        <v>0</v>
      </c>
      <c r="AT25" s="17">
        <v>3</v>
      </c>
    </row>
    <row r="26" spans="1:46" ht="330" x14ac:dyDescent="0.25">
      <c r="A26" s="2">
        <v>20</v>
      </c>
      <c r="B26" s="30" t="s">
        <v>116</v>
      </c>
      <c r="C26" s="2">
        <v>90465983</v>
      </c>
      <c r="D26" s="2" t="s">
        <v>9</v>
      </c>
      <c r="E26" s="2" t="s">
        <v>9</v>
      </c>
      <c r="F26" s="2" t="s">
        <v>52</v>
      </c>
      <c r="G26" s="2" t="s">
        <v>52</v>
      </c>
      <c r="H26" s="2" t="s">
        <v>9</v>
      </c>
      <c r="I26" s="3" t="s">
        <v>173</v>
      </c>
      <c r="J26" s="13" t="s">
        <v>9</v>
      </c>
      <c r="K26" s="14"/>
      <c r="L26" s="13" t="s">
        <v>52</v>
      </c>
      <c r="M26" s="14"/>
      <c r="N26" s="16" t="s">
        <v>52</v>
      </c>
      <c r="O26" s="13" t="s">
        <v>52</v>
      </c>
      <c r="P26" s="13"/>
      <c r="Q26" s="16" t="s">
        <v>52</v>
      </c>
      <c r="R26" s="13" t="s">
        <v>52</v>
      </c>
      <c r="S26" s="14"/>
      <c r="T26" s="13" t="s">
        <v>52</v>
      </c>
      <c r="U26" s="14"/>
      <c r="V26" s="13" t="s">
        <v>9</v>
      </c>
      <c r="W26" s="14"/>
      <c r="X26" s="13" t="s">
        <v>52</v>
      </c>
      <c r="Y26" s="14"/>
      <c r="Z26" s="16" t="s">
        <v>52</v>
      </c>
      <c r="AA26" s="13" t="s">
        <v>9</v>
      </c>
      <c r="AB26" s="14"/>
      <c r="AC26" s="13" t="s">
        <v>52</v>
      </c>
      <c r="AD26" s="15"/>
      <c r="AE26" s="16" t="s">
        <v>52</v>
      </c>
      <c r="AF26" s="13" t="s">
        <v>9</v>
      </c>
      <c r="AG26" s="14"/>
      <c r="AH26" s="16" t="s">
        <v>9</v>
      </c>
      <c r="AI26" s="13"/>
      <c r="AJ26" s="13"/>
      <c r="AK26" s="13"/>
      <c r="AL26" s="13"/>
      <c r="AM26" s="13"/>
      <c r="AN26" s="13"/>
      <c r="AO26" s="16"/>
      <c r="AP26" s="17">
        <v>35</v>
      </c>
      <c r="AQ26" s="17">
        <v>0</v>
      </c>
      <c r="AR26" s="17">
        <v>0</v>
      </c>
      <c r="AS26" s="17">
        <v>0</v>
      </c>
      <c r="AT26" s="17">
        <v>7</v>
      </c>
    </row>
    <row r="27" spans="1:46" ht="210" x14ac:dyDescent="0.25">
      <c r="A27" s="2">
        <v>21</v>
      </c>
      <c r="B27" s="30" t="s">
        <v>117</v>
      </c>
      <c r="C27" s="2">
        <v>90260051</v>
      </c>
      <c r="D27" s="2" t="s">
        <v>52</v>
      </c>
      <c r="E27" s="2" t="s">
        <v>9</v>
      </c>
      <c r="F27" s="2" t="s">
        <v>52</v>
      </c>
      <c r="G27" s="2" t="s">
        <v>52</v>
      </c>
      <c r="H27" s="2" t="s">
        <v>9</v>
      </c>
      <c r="I27" s="3" t="s">
        <v>180</v>
      </c>
      <c r="J27" s="13" t="s">
        <v>9</v>
      </c>
      <c r="K27" s="14"/>
      <c r="L27" s="13" t="s">
        <v>9</v>
      </c>
      <c r="M27" s="14"/>
      <c r="N27" s="16" t="s">
        <v>9</v>
      </c>
      <c r="O27" s="13" t="s">
        <v>9</v>
      </c>
      <c r="P27" s="13"/>
      <c r="Q27" s="16" t="s">
        <v>9</v>
      </c>
      <c r="R27" s="13" t="s">
        <v>9</v>
      </c>
      <c r="S27" s="14"/>
      <c r="T27" s="13" t="s">
        <v>9</v>
      </c>
      <c r="U27" s="14"/>
      <c r="V27" s="13" t="s">
        <v>9</v>
      </c>
      <c r="W27" s="14"/>
      <c r="X27" s="13" t="s">
        <v>9</v>
      </c>
      <c r="Y27" s="14"/>
      <c r="Z27" s="16" t="s">
        <v>9</v>
      </c>
      <c r="AA27" s="13" t="s">
        <v>9</v>
      </c>
      <c r="AB27" s="14"/>
      <c r="AC27" s="13" t="s">
        <v>9</v>
      </c>
      <c r="AD27" s="15"/>
      <c r="AE27" s="16" t="s">
        <v>9</v>
      </c>
      <c r="AF27" s="13" t="s">
        <v>9</v>
      </c>
      <c r="AG27" s="14"/>
      <c r="AH27" s="16" t="s">
        <v>9</v>
      </c>
      <c r="AI27" s="13"/>
      <c r="AJ27" s="13"/>
      <c r="AK27" s="13"/>
      <c r="AL27" s="13"/>
      <c r="AM27" s="13"/>
      <c r="AN27" s="13"/>
      <c r="AO27" s="16"/>
      <c r="AP27" s="17">
        <v>35</v>
      </c>
      <c r="AQ27" s="17">
        <v>0</v>
      </c>
      <c r="AR27" s="17">
        <v>0</v>
      </c>
      <c r="AS27" s="17">
        <v>4</v>
      </c>
      <c r="AT27" s="17">
        <v>3</v>
      </c>
    </row>
    <row r="28" spans="1:46" ht="16.5" x14ac:dyDescent="0.25">
      <c r="A28" s="2">
        <v>22</v>
      </c>
      <c r="B28" s="7"/>
      <c r="C28" s="2"/>
      <c r="D28" s="2"/>
      <c r="E28" s="2"/>
      <c r="F28" s="2"/>
      <c r="G28" s="2"/>
      <c r="H28" s="2"/>
      <c r="I28" s="4"/>
      <c r="J28" s="13"/>
      <c r="K28" s="14"/>
      <c r="L28" s="13"/>
      <c r="M28" s="14"/>
      <c r="N28" s="16"/>
      <c r="O28" s="13"/>
      <c r="P28" s="13"/>
      <c r="Q28" s="16"/>
      <c r="R28" s="13"/>
      <c r="S28" s="14"/>
      <c r="T28" s="13"/>
      <c r="U28" s="14"/>
      <c r="V28" s="13"/>
      <c r="W28" s="14"/>
      <c r="X28" s="13"/>
      <c r="Y28" s="14"/>
      <c r="Z28" s="16"/>
      <c r="AA28" s="13"/>
      <c r="AB28" s="14"/>
      <c r="AC28" s="13"/>
      <c r="AD28" s="15"/>
      <c r="AE28" s="16"/>
      <c r="AF28" s="13"/>
      <c r="AG28" s="14"/>
      <c r="AH28" s="16"/>
      <c r="AI28" s="13"/>
      <c r="AJ28" s="13"/>
      <c r="AK28" s="13"/>
      <c r="AL28" s="13"/>
      <c r="AM28" s="13"/>
      <c r="AN28" s="13"/>
      <c r="AO28" s="16"/>
      <c r="AP28" s="17"/>
      <c r="AQ28" s="17"/>
      <c r="AR28" s="17"/>
      <c r="AS28" s="17"/>
      <c r="AT28" s="17"/>
    </row>
    <row r="29" spans="1:46" ht="16.5" x14ac:dyDescent="0.25">
      <c r="A29" s="2">
        <v>23</v>
      </c>
      <c r="B29" s="7"/>
      <c r="C29" s="2"/>
      <c r="D29" s="2"/>
      <c r="E29" s="2"/>
      <c r="F29" s="2"/>
      <c r="G29" s="2"/>
      <c r="H29" s="2"/>
      <c r="I29" s="4"/>
      <c r="J29" s="13"/>
      <c r="K29" s="14"/>
      <c r="L29" s="13"/>
      <c r="M29" s="14"/>
      <c r="N29" s="16"/>
      <c r="O29" s="13"/>
      <c r="P29" s="13"/>
      <c r="Q29" s="16"/>
      <c r="R29" s="13"/>
      <c r="S29" s="14"/>
      <c r="T29" s="13"/>
      <c r="U29" s="14"/>
      <c r="V29" s="13"/>
      <c r="W29" s="14"/>
      <c r="X29" s="13"/>
      <c r="Y29" s="14"/>
      <c r="Z29" s="16"/>
      <c r="AA29" s="13"/>
      <c r="AB29" s="14"/>
      <c r="AC29" s="13"/>
      <c r="AD29" s="15"/>
      <c r="AE29" s="16"/>
      <c r="AF29" s="13"/>
      <c r="AG29" s="14"/>
      <c r="AH29" s="16"/>
      <c r="AI29" s="13"/>
      <c r="AJ29" s="13"/>
      <c r="AK29" s="13"/>
      <c r="AL29" s="13"/>
      <c r="AM29" s="13"/>
      <c r="AN29" s="13"/>
      <c r="AO29" s="16"/>
      <c r="AP29" s="17"/>
      <c r="AQ29" s="17"/>
      <c r="AR29" s="17"/>
      <c r="AS29" s="17"/>
      <c r="AT29" s="17"/>
    </row>
    <row r="30" spans="1:46" ht="16.5" x14ac:dyDescent="0.25">
      <c r="A30" s="2">
        <v>24</v>
      </c>
      <c r="B30" s="7"/>
      <c r="C30" s="2"/>
      <c r="D30" s="2"/>
      <c r="E30" s="2"/>
      <c r="F30" s="2"/>
      <c r="G30" s="2"/>
      <c r="H30" s="2"/>
      <c r="I30" s="4"/>
      <c r="J30" s="13"/>
      <c r="K30" s="14"/>
      <c r="L30" s="13"/>
      <c r="M30" s="14"/>
      <c r="N30" s="16"/>
      <c r="O30" s="13"/>
      <c r="P30" s="13"/>
      <c r="Q30" s="16"/>
      <c r="R30" s="13"/>
      <c r="S30" s="14"/>
      <c r="T30" s="13"/>
      <c r="U30" s="14"/>
      <c r="V30" s="13"/>
      <c r="W30" s="14"/>
      <c r="X30" s="13"/>
      <c r="Y30" s="14"/>
      <c r="Z30" s="16"/>
      <c r="AA30" s="13"/>
      <c r="AB30" s="14"/>
      <c r="AC30" s="13"/>
      <c r="AD30" s="15"/>
      <c r="AE30" s="16"/>
      <c r="AF30" s="13"/>
      <c r="AG30" s="14"/>
      <c r="AH30" s="16"/>
      <c r="AI30" s="13"/>
      <c r="AJ30" s="13"/>
      <c r="AK30" s="13"/>
      <c r="AL30" s="13"/>
      <c r="AM30" s="13"/>
      <c r="AN30" s="13"/>
      <c r="AO30" s="16"/>
      <c r="AP30" s="17"/>
      <c r="AQ30" s="17"/>
      <c r="AR30" s="17"/>
      <c r="AS30" s="17"/>
      <c r="AT30" s="17"/>
    </row>
    <row r="31" spans="1:46" ht="16.5" x14ac:dyDescent="0.25">
      <c r="A31" s="2">
        <v>25</v>
      </c>
      <c r="B31" s="7"/>
      <c r="C31" s="2"/>
      <c r="D31" s="2"/>
      <c r="E31" s="2"/>
      <c r="F31" s="2"/>
      <c r="G31" s="2"/>
      <c r="H31" s="2"/>
      <c r="I31" s="4"/>
      <c r="J31" s="13"/>
      <c r="K31" s="14"/>
      <c r="L31" s="13"/>
      <c r="M31" s="14"/>
      <c r="N31" s="16"/>
      <c r="O31" s="13"/>
      <c r="P31" s="13"/>
      <c r="Q31" s="16"/>
      <c r="R31" s="13"/>
      <c r="S31" s="14"/>
      <c r="T31" s="13"/>
      <c r="U31" s="14"/>
      <c r="V31" s="13"/>
      <c r="W31" s="14"/>
      <c r="X31" s="13"/>
      <c r="Y31" s="14"/>
      <c r="Z31" s="16"/>
      <c r="AA31" s="13"/>
      <c r="AB31" s="14"/>
      <c r="AC31" s="13"/>
      <c r="AD31" s="15"/>
      <c r="AE31" s="16"/>
      <c r="AF31" s="13"/>
      <c r="AG31" s="14"/>
      <c r="AH31" s="16"/>
      <c r="AI31" s="13"/>
      <c r="AJ31" s="13"/>
      <c r="AK31" s="13"/>
      <c r="AL31" s="13"/>
      <c r="AM31" s="13"/>
      <c r="AN31" s="13"/>
      <c r="AO31" s="16"/>
      <c r="AP31" s="6"/>
      <c r="AQ31" s="6"/>
      <c r="AR31" s="6"/>
      <c r="AS31" s="6"/>
      <c r="AT31" s="6"/>
    </row>
    <row r="32" spans="1:46" ht="16.5" x14ac:dyDescent="0.25">
      <c r="A32" s="2">
        <v>26</v>
      </c>
      <c r="B32" s="7"/>
      <c r="C32" s="2"/>
      <c r="D32" s="2"/>
      <c r="E32" s="2"/>
      <c r="F32" s="2"/>
      <c r="G32" s="2"/>
      <c r="H32" s="2"/>
      <c r="I32" s="4"/>
      <c r="J32" s="13"/>
      <c r="K32" s="14"/>
      <c r="L32" s="13"/>
      <c r="M32" s="14"/>
      <c r="N32" s="16"/>
      <c r="O32" s="13"/>
      <c r="P32" s="13"/>
      <c r="Q32" s="16"/>
      <c r="R32" s="13"/>
      <c r="S32" s="14"/>
      <c r="T32" s="13"/>
      <c r="U32" s="14"/>
      <c r="V32" s="13"/>
      <c r="W32" s="14"/>
      <c r="X32" s="13"/>
      <c r="Y32" s="14"/>
      <c r="Z32" s="16"/>
      <c r="AA32" s="13"/>
      <c r="AB32" s="14"/>
      <c r="AC32" s="13"/>
      <c r="AD32" s="15"/>
      <c r="AE32" s="16"/>
      <c r="AF32" s="13"/>
      <c r="AG32" s="14"/>
      <c r="AH32" s="16"/>
      <c r="AI32" s="13"/>
      <c r="AJ32" s="13"/>
      <c r="AK32" s="13"/>
      <c r="AL32" s="13"/>
      <c r="AM32" s="13"/>
      <c r="AN32" s="13"/>
      <c r="AO32" s="16"/>
      <c r="AP32" s="6"/>
      <c r="AQ32" s="6"/>
      <c r="AR32" s="6"/>
      <c r="AS32" s="6"/>
      <c r="AT32" s="6"/>
    </row>
    <row r="33" spans="1:46" ht="16.5" x14ac:dyDescent="0.25">
      <c r="A33" s="2">
        <v>27</v>
      </c>
      <c r="B33" s="7"/>
      <c r="C33" s="2"/>
      <c r="D33" s="2"/>
      <c r="E33" s="2"/>
      <c r="F33" s="2"/>
      <c r="G33" s="2"/>
      <c r="H33" s="2"/>
      <c r="I33" s="4"/>
      <c r="J33" s="13"/>
      <c r="K33" s="14"/>
      <c r="L33" s="13"/>
      <c r="M33" s="14"/>
      <c r="N33" s="16"/>
      <c r="O33" s="13"/>
      <c r="P33" s="13"/>
      <c r="Q33" s="16"/>
      <c r="R33" s="13"/>
      <c r="S33" s="14"/>
      <c r="T33" s="13"/>
      <c r="U33" s="14"/>
      <c r="V33" s="13"/>
      <c r="W33" s="14"/>
      <c r="X33" s="13"/>
      <c r="Y33" s="14"/>
      <c r="Z33" s="16"/>
      <c r="AA33" s="13"/>
      <c r="AB33" s="14"/>
      <c r="AC33" s="13"/>
      <c r="AD33" s="15"/>
      <c r="AE33" s="16"/>
      <c r="AF33" s="13"/>
      <c r="AG33" s="14"/>
      <c r="AH33" s="16"/>
      <c r="AI33" s="13"/>
      <c r="AJ33" s="13"/>
      <c r="AK33" s="13"/>
      <c r="AL33" s="13"/>
      <c r="AM33" s="13"/>
      <c r="AN33" s="13"/>
      <c r="AO33" s="16"/>
      <c r="AP33" s="6"/>
      <c r="AQ33" s="6"/>
      <c r="AR33" s="6"/>
      <c r="AS33" s="6"/>
      <c r="AT33" s="6"/>
    </row>
    <row r="34" spans="1:46" ht="16.5" x14ac:dyDescent="0.25">
      <c r="A34" s="2">
        <v>28</v>
      </c>
      <c r="B34" s="7"/>
      <c r="C34" s="2"/>
      <c r="D34" s="2"/>
      <c r="E34" s="2"/>
      <c r="F34" s="2"/>
      <c r="G34" s="2"/>
      <c r="H34" s="2"/>
      <c r="I34" s="4"/>
      <c r="J34" s="13"/>
      <c r="K34" s="14"/>
      <c r="L34" s="13"/>
      <c r="M34" s="14"/>
      <c r="N34" s="16"/>
      <c r="O34" s="13"/>
      <c r="P34" s="13"/>
      <c r="Q34" s="16"/>
      <c r="R34" s="13"/>
      <c r="S34" s="14"/>
      <c r="T34" s="13"/>
      <c r="U34" s="14"/>
      <c r="V34" s="13"/>
      <c r="W34" s="14"/>
      <c r="X34" s="13"/>
      <c r="Y34" s="14"/>
      <c r="Z34" s="16"/>
      <c r="AA34" s="13"/>
      <c r="AB34" s="14"/>
      <c r="AC34" s="13"/>
      <c r="AD34" s="15"/>
      <c r="AE34" s="16"/>
      <c r="AF34" s="13"/>
      <c r="AG34" s="14"/>
      <c r="AH34" s="16"/>
      <c r="AI34" s="13"/>
      <c r="AJ34" s="13"/>
      <c r="AK34" s="13"/>
      <c r="AL34" s="13"/>
      <c r="AM34" s="13"/>
      <c r="AN34" s="13"/>
      <c r="AO34" s="16"/>
      <c r="AP34" s="6"/>
      <c r="AQ34" s="6"/>
      <c r="AR34" s="6"/>
      <c r="AS34" s="6"/>
      <c r="AT34" s="6"/>
    </row>
    <row r="35" spans="1:46" ht="16.5" x14ac:dyDescent="0.25">
      <c r="A35" s="2">
        <v>29</v>
      </c>
      <c r="B35" s="7"/>
      <c r="C35" s="2"/>
      <c r="D35" s="2"/>
      <c r="E35" s="2"/>
      <c r="F35" s="2"/>
      <c r="G35" s="2"/>
      <c r="H35" s="2"/>
      <c r="I35" s="4"/>
      <c r="J35" s="13"/>
      <c r="K35" s="14"/>
      <c r="L35" s="13"/>
      <c r="M35" s="14"/>
      <c r="N35" s="16"/>
      <c r="O35" s="13"/>
      <c r="P35" s="13"/>
      <c r="Q35" s="16"/>
      <c r="R35" s="13"/>
      <c r="S35" s="14"/>
      <c r="T35" s="13"/>
      <c r="U35" s="14"/>
      <c r="V35" s="13"/>
      <c r="W35" s="14"/>
      <c r="X35" s="13"/>
      <c r="Y35" s="14"/>
      <c r="Z35" s="16"/>
      <c r="AA35" s="13"/>
      <c r="AB35" s="14"/>
      <c r="AC35" s="13"/>
      <c r="AD35" s="15"/>
      <c r="AE35" s="16"/>
      <c r="AF35" s="13"/>
      <c r="AG35" s="14"/>
      <c r="AH35" s="16"/>
      <c r="AI35" s="13"/>
      <c r="AJ35" s="13"/>
      <c r="AK35" s="13"/>
      <c r="AL35" s="13"/>
      <c r="AM35" s="13"/>
      <c r="AN35" s="13"/>
      <c r="AO35" s="16"/>
      <c r="AP35" s="6"/>
      <c r="AQ35" s="6"/>
      <c r="AR35" s="6"/>
      <c r="AS35" s="6"/>
      <c r="AT35" s="6"/>
    </row>
    <row r="36" spans="1:46" ht="16.5" x14ac:dyDescent="0.25">
      <c r="A36" s="2">
        <v>30</v>
      </c>
      <c r="B36" s="7"/>
      <c r="C36" s="2"/>
      <c r="D36" s="2"/>
      <c r="E36" s="2"/>
      <c r="F36" s="2"/>
      <c r="G36" s="2"/>
      <c r="H36" s="2"/>
      <c r="I36" s="4"/>
      <c r="J36" s="13"/>
      <c r="K36" s="14"/>
      <c r="L36" s="13"/>
      <c r="M36" s="14"/>
      <c r="N36" s="16"/>
      <c r="O36" s="13"/>
      <c r="P36" s="13"/>
      <c r="Q36" s="16"/>
      <c r="R36" s="13"/>
      <c r="S36" s="14"/>
      <c r="T36" s="13"/>
      <c r="U36" s="14"/>
      <c r="V36" s="13"/>
      <c r="W36" s="14"/>
      <c r="X36" s="13"/>
      <c r="Y36" s="14"/>
      <c r="Z36" s="16"/>
      <c r="AA36" s="13"/>
      <c r="AB36" s="14"/>
      <c r="AC36" s="13"/>
      <c r="AD36" s="15"/>
      <c r="AE36" s="16"/>
      <c r="AF36" s="13"/>
      <c r="AG36" s="14"/>
      <c r="AH36" s="16"/>
      <c r="AI36" s="13"/>
      <c r="AJ36" s="13"/>
      <c r="AK36" s="13"/>
      <c r="AL36" s="13"/>
      <c r="AM36" s="13"/>
      <c r="AN36" s="13"/>
      <c r="AO36" s="16"/>
      <c r="AP36" s="6"/>
      <c r="AQ36" s="6"/>
      <c r="AR36" s="6"/>
      <c r="AS36" s="6"/>
      <c r="AT36" s="6"/>
    </row>
  </sheetData>
  <mergeCells count="17">
    <mergeCell ref="AP5:AP6"/>
    <mergeCell ref="AQ5:AQ6"/>
    <mergeCell ref="AR5:AR6"/>
    <mergeCell ref="AS5:AS6"/>
    <mergeCell ref="AT5:AT6"/>
    <mergeCell ref="A5:A6"/>
    <mergeCell ref="B5:B6"/>
    <mergeCell ref="C5:C6"/>
    <mergeCell ref="D5:H5"/>
    <mergeCell ref="I5:I6"/>
    <mergeCell ref="AI5:AL5"/>
    <mergeCell ref="AM5:AO5"/>
    <mergeCell ref="J5:N5"/>
    <mergeCell ref="O5:Q5"/>
    <mergeCell ref="R5:Z5"/>
    <mergeCell ref="AA5:AE5"/>
    <mergeCell ref="AF5:AH5"/>
  </mergeCells>
  <conditionalFormatting sqref="J7:J36 L7:L36 O7:O36 R7:R36 T7:T36 V7:V36 AA7:AA36 AC7:AC36 AF7:AF36 AI7:AI36 AK7:AK36">
    <cfRule type="containsText" dxfId="47" priority="5" operator="containsText" text="AD">
      <formula>NOT(ISERROR(SEARCH(("AD"),(J7))))</formula>
    </cfRule>
  </conditionalFormatting>
  <conditionalFormatting sqref="J7:J36 L7:L36 O7:O36 R7:R36 T7:T36 V7:V36 AA7:AA36 AC7:AC36 AF7:AF36 AI7:AI36 AK7:AK36">
    <cfRule type="containsText" dxfId="46" priority="6" operator="containsText" text="A">
      <formula>NOT(ISERROR(SEARCH(("A"),(J7))))</formula>
    </cfRule>
  </conditionalFormatting>
  <conditionalFormatting sqref="J7:J36 L7:L36 O7:O36 R7:R36 T7:T36 V7:V36 AA7:AA36 AC7:AC36 AF7:AF36 AI7:AI36 AK7:AK36">
    <cfRule type="containsText" dxfId="45" priority="7" operator="containsText" text="B">
      <formula>NOT(ISERROR(SEARCH(("B"),(J7))))</formula>
    </cfRule>
  </conditionalFormatting>
  <conditionalFormatting sqref="J7:J36 L7:L36 O7:O36 R7:R36 T7:T36 V7:V36 AA7:AA36 AC7:AC36 AF7:AF36 AI7:AI36 AK7:AK36">
    <cfRule type="containsText" dxfId="44" priority="8" operator="containsText" text="C">
      <formula>NOT(ISERROR(SEARCH(("C"),(J7))))</formula>
    </cfRule>
  </conditionalFormatting>
  <conditionalFormatting sqref="AM7:AM36">
    <cfRule type="containsText" dxfId="43" priority="9" operator="containsText" text="AD">
      <formula>NOT(ISERROR(SEARCH(("AD"),(AM7))))</formula>
    </cfRule>
  </conditionalFormatting>
  <conditionalFormatting sqref="AM7:AM36">
    <cfRule type="containsText" dxfId="42" priority="10" operator="containsText" text="A">
      <formula>NOT(ISERROR(SEARCH(("A"),(AM7))))</formula>
    </cfRule>
  </conditionalFormatting>
  <conditionalFormatting sqref="AM7:AM36">
    <cfRule type="containsText" dxfId="41" priority="11" operator="containsText" text="B">
      <formula>NOT(ISERROR(SEARCH(("B"),(AM7))))</formula>
    </cfRule>
  </conditionalFormatting>
  <conditionalFormatting sqref="AM7:AM36">
    <cfRule type="containsText" dxfId="40" priority="12" operator="containsText" text="C">
      <formula>NOT(ISERROR(SEARCH(("C"),(AM7))))</formula>
    </cfRule>
  </conditionalFormatting>
  <conditionalFormatting sqref="X7:X36">
    <cfRule type="containsText" dxfId="39" priority="1" operator="containsText" text="AD">
      <formula>NOT(ISERROR(SEARCH(("AD"),(X7))))</formula>
    </cfRule>
  </conditionalFormatting>
  <conditionalFormatting sqref="X7:X36">
    <cfRule type="containsText" dxfId="38" priority="2" operator="containsText" text="A">
      <formula>NOT(ISERROR(SEARCH(("A"),(X7))))</formula>
    </cfRule>
  </conditionalFormatting>
  <conditionalFormatting sqref="X7:X36">
    <cfRule type="containsText" dxfId="37" priority="3" operator="containsText" text="B">
      <formula>NOT(ISERROR(SEARCH(("B"),(X7))))</formula>
    </cfRule>
  </conditionalFormatting>
  <conditionalFormatting sqref="X7:X36">
    <cfRule type="containsText" dxfId="36" priority="4" operator="containsText" text="C">
      <formula>NOT(ISERROR(SEARCH(("C"),(X7))))</formula>
    </cfRule>
  </conditionalFormatting>
  <pageMargins left="0.7" right="0.7" top="0.75" bottom="0.75" header="0.3" footer="0.3"/>
  <pageSetup paperSize="9"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7288-9C02-4E24-A570-D3C41D6DF378}">
  <sheetPr codeName="Hoja5"/>
  <dimension ref="A2:BH36"/>
  <sheetViews>
    <sheetView tabSelected="1" zoomScale="50" zoomScaleNormal="50" workbookViewId="0">
      <selection activeCell="AX8" sqref="AX8"/>
    </sheetView>
  </sheetViews>
  <sheetFormatPr baseColWidth="10" defaultRowHeight="15" x14ac:dyDescent="0.25"/>
  <cols>
    <col min="1" max="1" width="3" bestFit="1" customWidth="1"/>
    <col min="2" max="2" width="8.7109375" bestFit="1" customWidth="1"/>
    <col min="3" max="3" width="6" customWidth="1"/>
    <col min="4" max="8" width="8.85546875" style="1" customWidth="1"/>
    <col min="9" max="9" width="64.140625" style="5" customWidth="1"/>
    <col min="10" max="10" width="2.85546875" bestFit="1" customWidth="1"/>
    <col min="11" max="11" width="3.28515625" bestFit="1" customWidth="1"/>
    <col min="12" max="12" width="2.85546875" bestFit="1" customWidth="1"/>
    <col min="13" max="13" width="3.28515625" bestFit="1" customWidth="1"/>
    <col min="14" max="15" width="2.85546875" bestFit="1" customWidth="1"/>
    <col min="16" max="16" width="3.28515625" bestFit="1" customWidth="1"/>
    <col min="17" max="18" width="2.85546875" bestFit="1" customWidth="1"/>
    <col min="19" max="19" width="3.28515625" bestFit="1" customWidth="1"/>
    <col min="20" max="20" width="2.85546875" bestFit="1" customWidth="1"/>
    <col min="21" max="21" width="3.28515625" bestFit="1" customWidth="1"/>
    <col min="22" max="22" width="2.85546875" bestFit="1" customWidth="1"/>
    <col min="23" max="23" width="3.28515625" bestFit="1" customWidth="1"/>
    <col min="24" max="24" width="2.85546875" bestFit="1" customWidth="1"/>
    <col min="25" max="25" width="3.28515625" bestFit="1" customWidth="1"/>
    <col min="26" max="27" width="2.85546875" bestFit="1" customWidth="1"/>
    <col min="28" max="28" width="3.28515625" bestFit="1" customWidth="1"/>
    <col min="29" max="29" width="2.85546875" bestFit="1" customWidth="1"/>
    <col min="30" max="30" width="3.28515625" bestFit="1" customWidth="1"/>
    <col min="31" max="32" width="2.85546875" bestFit="1" customWidth="1"/>
    <col min="33" max="33" width="3.28515625" bestFit="1" customWidth="1"/>
    <col min="34" max="35" width="2.85546875" bestFit="1" customWidth="1"/>
    <col min="36" max="36" width="3.28515625" bestFit="1" customWidth="1"/>
    <col min="37" max="37" width="2.85546875" bestFit="1" customWidth="1"/>
    <col min="38" max="38" width="3.28515625" bestFit="1" customWidth="1"/>
    <col min="39" max="39" width="2.85546875" bestFit="1" customWidth="1"/>
    <col min="40" max="40" width="3.28515625" bestFit="1" customWidth="1"/>
    <col min="41" max="41" width="2.85546875" bestFit="1" customWidth="1"/>
  </cols>
  <sheetData>
    <row r="2" spans="1:60" x14ac:dyDescent="0.25">
      <c r="B2" s="28"/>
      <c r="C2" s="28"/>
      <c r="D2" s="28"/>
      <c r="E2" s="28"/>
      <c r="F2" s="28"/>
      <c r="G2" s="28"/>
      <c r="H2" s="28"/>
    </row>
    <row r="3" spans="1:60" x14ac:dyDescent="0.25">
      <c r="B3" s="28"/>
      <c r="C3" s="28"/>
      <c r="D3" s="28"/>
      <c r="E3" s="28"/>
      <c r="F3" s="28"/>
      <c r="G3" s="28"/>
      <c r="H3" s="28"/>
    </row>
    <row r="4" spans="1:60" x14ac:dyDescent="0.25">
      <c r="D4"/>
      <c r="E4"/>
      <c r="F4"/>
      <c r="G4"/>
      <c r="H4"/>
      <c r="I4"/>
    </row>
    <row r="5" spans="1:60" ht="30" customHeight="1" x14ac:dyDescent="0.25">
      <c r="A5" s="122" t="s">
        <v>46</v>
      </c>
      <c r="B5" s="122" t="s">
        <v>79</v>
      </c>
      <c r="C5" s="122" t="s">
        <v>80</v>
      </c>
      <c r="D5" s="122" t="s">
        <v>89</v>
      </c>
      <c r="E5" s="122"/>
      <c r="F5" s="122"/>
      <c r="G5" s="122"/>
      <c r="H5" s="122"/>
      <c r="I5" s="123" t="s">
        <v>86</v>
      </c>
      <c r="J5" s="118" t="s">
        <v>21</v>
      </c>
      <c r="K5" s="119"/>
      <c r="L5" s="119"/>
      <c r="M5" s="119"/>
      <c r="N5" s="119"/>
      <c r="O5" s="118" t="s">
        <v>91</v>
      </c>
      <c r="P5" s="119"/>
      <c r="Q5" s="119"/>
      <c r="R5" s="118" t="s">
        <v>71</v>
      </c>
      <c r="S5" s="119"/>
      <c r="T5" s="119"/>
      <c r="U5" s="119"/>
      <c r="V5" s="119"/>
      <c r="W5" s="119"/>
      <c r="X5" s="119"/>
      <c r="Y5" s="119"/>
      <c r="Z5" s="119"/>
      <c r="AA5" s="118" t="s">
        <v>26</v>
      </c>
      <c r="AB5" s="119"/>
      <c r="AC5" s="119"/>
      <c r="AD5" s="119"/>
      <c r="AE5" s="119"/>
      <c r="AF5" s="118" t="s">
        <v>28</v>
      </c>
      <c r="AG5" s="119"/>
      <c r="AH5" s="119"/>
      <c r="AI5" s="120" t="s">
        <v>29</v>
      </c>
      <c r="AJ5" s="121"/>
      <c r="AK5" s="121"/>
      <c r="AL5" s="121"/>
      <c r="AM5" s="118" t="s">
        <v>72</v>
      </c>
      <c r="AN5" s="119"/>
      <c r="AO5" s="119"/>
      <c r="AP5" s="124" t="s">
        <v>81</v>
      </c>
      <c r="AQ5" s="124" t="s">
        <v>82</v>
      </c>
      <c r="AR5" s="124" t="s">
        <v>83</v>
      </c>
      <c r="AS5" s="124" t="s">
        <v>84</v>
      </c>
      <c r="AT5" s="124" t="s">
        <v>85</v>
      </c>
    </row>
    <row r="6" spans="1:60" ht="24" x14ac:dyDescent="0.25">
      <c r="A6" s="122"/>
      <c r="B6" s="122"/>
      <c r="C6" s="122"/>
      <c r="D6" s="26" t="s">
        <v>39</v>
      </c>
      <c r="E6" s="26" t="s">
        <v>41</v>
      </c>
      <c r="F6" s="26" t="s">
        <v>42</v>
      </c>
      <c r="G6" s="26" t="s">
        <v>44</v>
      </c>
      <c r="H6" s="26" t="s">
        <v>88</v>
      </c>
      <c r="I6" s="123"/>
      <c r="J6" s="8" t="s">
        <v>73</v>
      </c>
      <c r="K6" s="9" t="s">
        <v>78</v>
      </c>
      <c r="L6" s="10" t="s">
        <v>74</v>
      </c>
      <c r="M6" s="9" t="s">
        <v>78</v>
      </c>
      <c r="N6" s="11" t="s">
        <v>77</v>
      </c>
      <c r="O6" s="10" t="s">
        <v>73</v>
      </c>
      <c r="P6" s="9" t="s">
        <v>78</v>
      </c>
      <c r="Q6" s="11" t="s">
        <v>77</v>
      </c>
      <c r="R6" s="10" t="s">
        <v>73</v>
      </c>
      <c r="S6" s="9" t="s">
        <v>78</v>
      </c>
      <c r="T6" s="10" t="s">
        <v>74</v>
      </c>
      <c r="U6" s="9" t="s">
        <v>78</v>
      </c>
      <c r="V6" s="10" t="s">
        <v>75</v>
      </c>
      <c r="W6" s="9" t="s">
        <v>78</v>
      </c>
      <c r="X6" s="8" t="s">
        <v>76</v>
      </c>
      <c r="Y6" s="9" t="s">
        <v>78</v>
      </c>
      <c r="Z6" s="11" t="s">
        <v>77</v>
      </c>
      <c r="AA6" s="10" t="s">
        <v>73</v>
      </c>
      <c r="AB6" s="9" t="s">
        <v>78</v>
      </c>
      <c r="AC6" s="10" t="s">
        <v>74</v>
      </c>
      <c r="AD6" s="9" t="s">
        <v>78</v>
      </c>
      <c r="AE6" s="11" t="s">
        <v>77</v>
      </c>
      <c r="AF6" s="8" t="s">
        <v>73</v>
      </c>
      <c r="AG6" s="9" t="s">
        <v>78</v>
      </c>
      <c r="AH6" s="11" t="s">
        <v>77</v>
      </c>
      <c r="AI6" s="10" t="s">
        <v>73</v>
      </c>
      <c r="AJ6" s="9" t="s">
        <v>78</v>
      </c>
      <c r="AK6" s="10" t="s">
        <v>74</v>
      </c>
      <c r="AL6" s="9" t="s">
        <v>78</v>
      </c>
      <c r="AM6" s="10" t="s">
        <v>73</v>
      </c>
      <c r="AN6" s="9" t="s">
        <v>78</v>
      </c>
      <c r="AO6" s="11" t="s">
        <v>77</v>
      </c>
      <c r="AP6" s="124"/>
      <c r="AQ6" s="124"/>
      <c r="AR6" s="124"/>
      <c r="AS6" s="124"/>
      <c r="AT6" s="124"/>
    </row>
    <row r="7" spans="1:60" ht="240" x14ac:dyDescent="0.25">
      <c r="A7" s="2">
        <v>1</v>
      </c>
      <c r="B7" s="30" t="s">
        <v>97</v>
      </c>
      <c r="C7" s="2">
        <v>90373031</v>
      </c>
      <c r="D7" s="2" t="s">
        <v>9</v>
      </c>
      <c r="E7" s="2" t="s">
        <v>9</v>
      </c>
      <c r="F7" s="2" t="s">
        <v>9</v>
      </c>
      <c r="G7" s="2"/>
      <c r="H7" s="2" t="s">
        <v>9</v>
      </c>
      <c r="I7" s="3" t="s">
        <v>194</v>
      </c>
      <c r="J7" s="13" t="s">
        <v>9</v>
      </c>
      <c r="K7" s="12"/>
      <c r="L7" s="13" t="s">
        <v>9</v>
      </c>
      <c r="M7" s="12"/>
      <c r="N7" s="16" t="s">
        <v>9</v>
      </c>
      <c r="O7" s="13" t="s">
        <v>9</v>
      </c>
      <c r="P7" s="12"/>
      <c r="Q7" s="16" t="s">
        <v>9</v>
      </c>
      <c r="R7" s="13" t="s">
        <v>9</v>
      </c>
      <c r="S7" s="12"/>
      <c r="T7" s="13" t="s">
        <v>9</v>
      </c>
      <c r="U7" s="12"/>
      <c r="V7" s="13" t="s">
        <v>9</v>
      </c>
      <c r="W7" s="12"/>
      <c r="X7" s="13" t="s">
        <v>9</v>
      </c>
      <c r="Y7" s="12"/>
      <c r="Z7" s="16" t="s">
        <v>9</v>
      </c>
      <c r="AA7" s="13" t="s">
        <v>9</v>
      </c>
      <c r="AB7" s="12"/>
      <c r="AC7" s="13" t="s">
        <v>9</v>
      </c>
      <c r="AD7" s="12"/>
      <c r="AE7" s="16" t="s">
        <v>9</v>
      </c>
      <c r="AF7" s="13" t="s">
        <v>9</v>
      </c>
      <c r="AG7" s="12"/>
      <c r="AH7" s="16" t="s">
        <v>9</v>
      </c>
      <c r="AI7" s="13"/>
      <c r="AJ7" s="12"/>
      <c r="AK7" s="13"/>
      <c r="AL7" s="12"/>
      <c r="AM7" s="13"/>
      <c r="AN7" s="12"/>
      <c r="AO7" s="16"/>
      <c r="AP7" s="125">
        <v>18</v>
      </c>
      <c r="AQ7" s="125">
        <v>0</v>
      </c>
      <c r="AR7" s="125">
        <v>0</v>
      </c>
      <c r="AS7" s="125">
        <v>0</v>
      </c>
      <c r="AT7" s="125">
        <v>23</v>
      </c>
      <c r="BH7">
        <v>1</v>
      </c>
    </row>
    <row r="8" spans="1:60" ht="225" x14ac:dyDescent="0.25">
      <c r="A8" s="2">
        <v>2</v>
      </c>
      <c r="B8" s="30" t="s">
        <v>98</v>
      </c>
      <c r="C8" s="2">
        <v>90479090</v>
      </c>
      <c r="D8" s="2" t="s">
        <v>9</v>
      </c>
      <c r="E8" s="2" t="s">
        <v>9</v>
      </c>
      <c r="F8" s="2" t="s">
        <v>9</v>
      </c>
      <c r="G8" s="2"/>
      <c r="H8" s="2" t="s">
        <v>9</v>
      </c>
      <c r="I8" s="3" t="s">
        <v>195</v>
      </c>
      <c r="J8" s="13" t="s">
        <v>9</v>
      </c>
      <c r="K8" s="14"/>
      <c r="L8" s="13" t="s">
        <v>9</v>
      </c>
      <c r="M8" s="14"/>
      <c r="N8" s="16" t="s">
        <v>9</v>
      </c>
      <c r="O8" s="13" t="s">
        <v>9</v>
      </c>
      <c r="P8" s="13"/>
      <c r="Q8" s="16" t="s">
        <v>9</v>
      </c>
      <c r="R8" s="13" t="s">
        <v>9</v>
      </c>
      <c r="S8" s="14"/>
      <c r="T8" s="13" t="s">
        <v>9</v>
      </c>
      <c r="U8" s="14"/>
      <c r="V8" s="13" t="s">
        <v>9</v>
      </c>
      <c r="W8" s="14"/>
      <c r="X8" s="13" t="s">
        <v>9</v>
      </c>
      <c r="Y8" s="14"/>
      <c r="Z8" s="16" t="s">
        <v>9</v>
      </c>
      <c r="AA8" s="13" t="s">
        <v>9</v>
      </c>
      <c r="AB8" s="14"/>
      <c r="AC8" s="13" t="s">
        <v>9</v>
      </c>
      <c r="AD8" s="15"/>
      <c r="AE8" s="16" t="s">
        <v>9</v>
      </c>
      <c r="AF8" s="13" t="s">
        <v>9</v>
      </c>
      <c r="AG8" s="14"/>
      <c r="AH8" s="16" t="s">
        <v>9</v>
      </c>
      <c r="AI8" s="13"/>
      <c r="AJ8" s="13"/>
      <c r="AK8" s="13"/>
      <c r="AL8" s="13"/>
      <c r="AM8" s="13"/>
      <c r="AN8" s="13"/>
      <c r="AO8" s="16"/>
      <c r="AP8" s="125">
        <v>36</v>
      </c>
      <c r="AQ8" s="125">
        <v>0</v>
      </c>
      <c r="AR8" s="125">
        <v>0</v>
      </c>
      <c r="AS8" s="125">
        <v>0</v>
      </c>
      <c r="AT8" s="125">
        <v>4</v>
      </c>
    </row>
    <row r="9" spans="1:60" ht="120" x14ac:dyDescent="0.25">
      <c r="A9" s="2">
        <v>3</v>
      </c>
      <c r="B9" s="30" t="s">
        <v>99</v>
      </c>
      <c r="C9" s="2">
        <v>90553781</v>
      </c>
      <c r="D9" s="2" t="s">
        <v>9</v>
      </c>
      <c r="E9" s="2" t="s">
        <v>9</v>
      </c>
      <c r="F9" s="2" t="s">
        <v>9</v>
      </c>
      <c r="G9" s="2"/>
      <c r="H9" s="2" t="s">
        <v>9</v>
      </c>
      <c r="I9" s="3" t="s">
        <v>193</v>
      </c>
      <c r="J9" s="13" t="s">
        <v>9</v>
      </c>
      <c r="K9" s="14"/>
      <c r="L9" s="13" t="s">
        <v>9</v>
      </c>
      <c r="M9" s="14"/>
      <c r="N9" s="16" t="s">
        <v>9</v>
      </c>
      <c r="O9" s="13" t="s">
        <v>9</v>
      </c>
      <c r="P9" s="13"/>
      <c r="Q9" s="16" t="s">
        <v>9</v>
      </c>
      <c r="R9" s="13" t="s">
        <v>9</v>
      </c>
      <c r="S9" s="14"/>
      <c r="T9" s="13" t="s">
        <v>9</v>
      </c>
      <c r="U9" s="14"/>
      <c r="V9" s="13" t="s">
        <v>9</v>
      </c>
      <c r="W9" s="14"/>
      <c r="X9" s="13" t="s">
        <v>9</v>
      </c>
      <c r="Y9" s="14"/>
      <c r="Z9" s="16" t="s">
        <v>9</v>
      </c>
      <c r="AA9" s="13" t="s">
        <v>9</v>
      </c>
      <c r="AB9" s="14"/>
      <c r="AC9" s="13" t="s">
        <v>9</v>
      </c>
      <c r="AD9" s="15"/>
      <c r="AE9" s="16" t="s">
        <v>9</v>
      </c>
      <c r="AF9" s="13" t="s">
        <v>9</v>
      </c>
      <c r="AG9" s="14"/>
      <c r="AH9" s="16" t="s">
        <v>9</v>
      </c>
      <c r="AI9" s="13"/>
      <c r="AJ9" s="13"/>
      <c r="AK9" s="13"/>
      <c r="AL9" s="13"/>
      <c r="AM9" s="13"/>
      <c r="AN9" s="13"/>
      <c r="AO9" s="16"/>
      <c r="AP9" s="125">
        <v>38</v>
      </c>
      <c r="AQ9" s="125">
        <v>0</v>
      </c>
      <c r="AR9" s="125">
        <v>0</v>
      </c>
      <c r="AS9" s="125">
        <v>0</v>
      </c>
      <c r="AT9" s="125">
        <v>2</v>
      </c>
    </row>
    <row r="10" spans="1:60" ht="150" x14ac:dyDescent="0.25">
      <c r="A10" s="2">
        <v>4</v>
      </c>
      <c r="B10" s="30" t="s">
        <v>100</v>
      </c>
      <c r="C10" s="2">
        <v>90549776</v>
      </c>
      <c r="D10" s="2" t="s">
        <v>9</v>
      </c>
      <c r="E10" s="2" t="s">
        <v>9</v>
      </c>
      <c r="F10" s="2" t="s">
        <v>9</v>
      </c>
      <c r="G10" s="2"/>
      <c r="H10" s="2" t="s">
        <v>9</v>
      </c>
      <c r="I10" s="3" t="s">
        <v>192</v>
      </c>
      <c r="J10" s="13" t="s">
        <v>9</v>
      </c>
      <c r="K10" s="14"/>
      <c r="L10" s="13" t="s">
        <v>9</v>
      </c>
      <c r="M10" s="14"/>
      <c r="N10" s="16" t="s">
        <v>9</v>
      </c>
      <c r="O10" s="13" t="s">
        <v>9</v>
      </c>
      <c r="P10" s="13"/>
      <c r="Q10" s="16" t="s">
        <v>9</v>
      </c>
      <c r="R10" s="13" t="s">
        <v>9</v>
      </c>
      <c r="S10" s="14"/>
      <c r="T10" s="13" t="s">
        <v>9</v>
      </c>
      <c r="U10" s="14"/>
      <c r="V10" s="13" t="s">
        <v>9</v>
      </c>
      <c r="W10" s="14"/>
      <c r="X10" s="13" t="s">
        <v>9</v>
      </c>
      <c r="Y10" s="14"/>
      <c r="Z10" s="16" t="s">
        <v>9</v>
      </c>
      <c r="AA10" s="13" t="s">
        <v>9</v>
      </c>
      <c r="AB10" s="14"/>
      <c r="AC10" s="13" t="s">
        <v>9</v>
      </c>
      <c r="AD10" s="15"/>
      <c r="AE10" s="16" t="s">
        <v>9</v>
      </c>
      <c r="AF10" s="13" t="s">
        <v>9</v>
      </c>
      <c r="AG10" s="14"/>
      <c r="AH10" s="16" t="s">
        <v>9</v>
      </c>
      <c r="AI10" s="13"/>
      <c r="AJ10" s="13"/>
      <c r="AK10" s="13"/>
      <c r="AL10" s="13"/>
      <c r="AM10" s="13"/>
      <c r="AN10" s="13"/>
      <c r="AO10" s="16"/>
      <c r="AP10" s="125">
        <v>33</v>
      </c>
      <c r="AQ10" s="125">
        <v>0</v>
      </c>
      <c r="AR10" s="125">
        <v>0</v>
      </c>
      <c r="AS10" s="125">
        <v>0</v>
      </c>
      <c r="AT10" s="125">
        <v>7</v>
      </c>
    </row>
    <row r="11" spans="1:60" ht="90" x14ac:dyDescent="0.25">
      <c r="A11" s="2">
        <v>5</v>
      </c>
      <c r="B11" s="30" t="s">
        <v>101</v>
      </c>
      <c r="C11" s="2">
        <v>90549529</v>
      </c>
      <c r="D11" s="2"/>
      <c r="E11" s="2"/>
      <c r="F11" s="2"/>
      <c r="G11" s="2"/>
      <c r="H11" s="2"/>
      <c r="I11" s="4"/>
      <c r="J11" s="13"/>
      <c r="K11" s="14"/>
      <c r="L11" s="13"/>
      <c r="M11" s="14"/>
      <c r="N11" s="16"/>
      <c r="O11" s="13"/>
      <c r="P11" s="13"/>
      <c r="Q11" s="16"/>
      <c r="R11" s="13"/>
      <c r="S11" s="14"/>
      <c r="T11" s="13"/>
      <c r="U11" s="14"/>
      <c r="V11" s="13"/>
      <c r="W11" s="14"/>
      <c r="X11" s="13"/>
      <c r="Y11" s="14"/>
      <c r="Z11" s="16"/>
      <c r="AA11" s="13"/>
      <c r="AB11" s="14"/>
      <c r="AC11" s="13"/>
      <c r="AD11" s="15"/>
      <c r="AE11" s="16"/>
      <c r="AF11" s="13"/>
      <c r="AG11" s="14"/>
      <c r="AH11" s="16"/>
      <c r="AI11" s="13"/>
      <c r="AJ11" s="13"/>
      <c r="AK11" s="13"/>
      <c r="AL11" s="13"/>
      <c r="AM11" s="13"/>
      <c r="AN11" s="13"/>
      <c r="AO11" s="16"/>
      <c r="AP11" s="125">
        <v>0</v>
      </c>
      <c r="AQ11" s="125">
        <v>0</v>
      </c>
      <c r="AR11" s="125">
        <v>0</v>
      </c>
      <c r="AS11" s="125">
        <v>0</v>
      </c>
      <c r="AT11" s="125">
        <v>0</v>
      </c>
    </row>
    <row r="12" spans="1:60" ht="180" x14ac:dyDescent="0.25">
      <c r="A12" s="2">
        <v>6</v>
      </c>
      <c r="B12" s="30" t="s">
        <v>102</v>
      </c>
      <c r="C12" s="2">
        <v>90544159</v>
      </c>
      <c r="D12" s="2" t="s">
        <v>9</v>
      </c>
      <c r="E12" s="2" t="s">
        <v>9</v>
      </c>
      <c r="F12" s="2" t="s">
        <v>52</v>
      </c>
      <c r="G12" s="2"/>
      <c r="H12" s="2" t="s">
        <v>9</v>
      </c>
      <c r="I12" s="3" t="s">
        <v>191</v>
      </c>
      <c r="J12" s="13" t="s">
        <v>9</v>
      </c>
      <c r="K12" s="14"/>
      <c r="L12" s="13" t="s">
        <v>9</v>
      </c>
      <c r="M12" s="14"/>
      <c r="N12" s="16" t="s">
        <v>9</v>
      </c>
      <c r="O12" s="13" t="s">
        <v>9</v>
      </c>
      <c r="P12" s="13"/>
      <c r="Q12" s="16" t="s">
        <v>9</v>
      </c>
      <c r="R12" s="13" t="s">
        <v>9</v>
      </c>
      <c r="S12" s="14"/>
      <c r="T12" s="13" t="s">
        <v>9</v>
      </c>
      <c r="U12" s="14"/>
      <c r="V12" s="13" t="s">
        <v>9</v>
      </c>
      <c r="W12" s="14"/>
      <c r="X12" s="13" t="s">
        <v>9</v>
      </c>
      <c r="Y12" s="14"/>
      <c r="Z12" s="16" t="s">
        <v>9</v>
      </c>
      <c r="AA12" s="13" t="s">
        <v>9</v>
      </c>
      <c r="AB12" s="14"/>
      <c r="AC12" s="13" t="s">
        <v>9</v>
      </c>
      <c r="AD12" s="15"/>
      <c r="AE12" s="16" t="s">
        <v>9</v>
      </c>
      <c r="AF12" s="13" t="s">
        <v>9</v>
      </c>
      <c r="AG12" s="14"/>
      <c r="AH12" s="16" t="s">
        <v>9</v>
      </c>
      <c r="AI12" s="13"/>
      <c r="AJ12" s="13"/>
      <c r="AK12" s="13"/>
      <c r="AL12" s="13"/>
      <c r="AM12" s="13"/>
      <c r="AN12" s="13"/>
      <c r="AO12" s="16"/>
      <c r="AP12" s="125">
        <v>31</v>
      </c>
      <c r="AQ12" s="125">
        <v>0</v>
      </c>
      <c r="AR12" s="125">
        <v>0</v>
      </c>
      <c r="AS12" s="125">
        <v>0</v>
      </c>
      <c r="AT12" s="125">
        <v>9</v>
      </c>
    </row>
    <row r="13" spans="1:60" ht="165" x14ac:dyDescent="0.25">
      <c r="A13" s="2">
        <v>7</v>
      </c>
      <c r="B13" s="30" t="s">
        <v>103</v>
      </c>
      <c r="C13" s="2">
        <v>90733280</v>
      </c>
      <c r="D13" s="2" t="s">
        <v>9</v>
      </c>
      <c r="E13" s="2" t="s">
        <v>9</v>
      </c>
      <c r="F13" s="2" t="s">
        <v>52</v>
      </c>
      <c r="G13" s="2"/>
      <c r="H13" s="2" t="s">
        <v>9</v>
      </c>
      <c r="I13" s="3" t="s">
        <v>190</v>
      </c>
      <c r="J13" s="13" t="s">
        <v>9</v>
      </c>
      <c r="K13" s="14"/>
      <c r="L13" s="13" t="s">
        <v>9</v>
      </c>
      <c r="M13" s="14"/>
      <c r="N13" s="16" t="s">
        <v>9</v>
      </c>
      <c r="O13" s="13" t="s">
        <v>9</v>
      </c>
      <c r="P13" s="13"/>
      <c r="Q13" s="16" t="s">
        <v>9</v>
      </c>
      <c r="R13" s="13" t="s">
        <v>9</v>
      </c>
      <c r="S13" s="14"/>
      <c r="T13" s="13" t="s">
        <v>9</v>
      </c>
      <c r="U13" s="14"/>
      <c r="V13" s="13" t="s">
        <v>9</v>
      </c>
      <c r="W13" s="14"/>
      <c r="X13" s="13" t="s">
        <v>9</v>
      </c>
      <c r="Y13" s="14"/>
      <c r="Z13" s="16" t="s">
        <v>9</v>
      </c>
      <c r="AA13" s="13" t="s">
        <v>9</v>
      </c>
      <c r="AB13" s="14"/>
      <c r="AC13" s="13" t="s">
        <v>9</v>
      </c>
      <c r="AD13" s="15"/>
      <c r="AE13" s="16" t="s">
        <v>9</v>
      </c>
      <c r="AF13" s="13" t="s">
        <v>9</v>
      </c>
      <c r="AG13" s="14"/>
      <c r="AH13" s="16" t="s">
        <v>9</v>
      </c>
      <c r="AI13" s="13"/>
      <c r="AJ13" s="13"/>
      <c r="AK13" s="13"/>
      <c r="AL13" s="13"/>
      <c r="AM13" s="13"/>
      <c r="AN13" s="13"/>
      <c r="AO13" s="16"/>
      <c r="AP13" s="125">
        <v>37</v>
      </c>
      <c r="AQ13" s="125">
        <v>0</v>
      </c>
      <c r="AR13" s="125">
        <v>0</v>
      </c>
      <c r="AS13" s="125">
        <v>0</v>
      </c>
      <c r="AT13" s="125">
        <v>3</v>
      </c>
    </row>
    <row r="14" spans="1:60" ht="240" x14ac:dyDescent="0.25">
      <c r="A14" s="2">
        <v>8</v>
      </c>
      <c r="B14" s="30" t="s">
        <v>104</v>
      </c>
      <c r="C14" s="2">
        <v>90711756</v>
      </c>
      <c r="D14" s="2" t="s">
        <v>9</v>
      </c>
      <c r="E14" s="2" t="s">
        <v>9</v>
      </c>
      <c r="F14" s="2" t="s">
        <v>9</v>
      </c>
      <c r="G14" s="2"/>
      <c r="H14" s="2" t="s">
        <v>9</v>
      </c>
      <c r="I14" s="3" t="s">
        <v>189</v>
      </c>
      <c r="J14" s="13" t="s">
        <v>9</v>
      </c>
      <c r="K14" s="14"/>
      <c r="L14" s="13" t="s">
        <v>9</v>
      </c>
      <c r="M14" s="14"/>
      <c r="N14" s="16" t="s">
        <v>9</v>
      </c>
      <c r="O14" s="13" t="s">
        <v>9</v>
      </c>
      <c r="P14" s="13"/>
      <c r="Q14" s="16" t="s">
        <v>9</v>
      </c>
      <c r="R14" s="13" t="s">
        <v>9</v>
      </c>
      <c r="S14" s="14"/>
      <c r="T14" s="13" t="s">
        <v>52</v>
      </c>
      <c r="U14" s="14"/>
      <c r="V14" s="13" t="s">
        <v>9</v>
      </c>
      <c r="W14" s="14"/>
      <c r="X14" s="13" t="s">
        <v>9</v>
      </c>
      <c r="Y14" s="14"/>
      <c r="Z14" s="16" t="s">
        <v>9</v>
      </c>
      <c r="AA14" s="13" t="s">
        <v>9</v>
      </c>
      <c r="AB14" s="14"/>
      <c r="AC14" s="13" t="s">
        <v>9</v>
      </c>
      <c r="AD14" s="15"/>
      <c r="AE14" s="16" t="s">
        <v>9</v>
      </c>
      <c r="AF14" s="13" t="s">
        <v>9</v>
      </c>
      <c r="AG14" s="14"/>
      <c r="AH14" s="16" t="s">
        <v>9</v>
      </c>
      <c r="AI14" s="13"/>
      <c r="AJ14" s="13"/>
      <c r="AK14" s="13"/>
      <c r="AL14" s="13"/>
      <c r="AM14" s="13"/>
      <c r="AN14" s="13"/>
      <c r="AO14" s="16"/>
      <c r="AP14" s="125">
        <v>33</v>
      </c>
      <c r="AQ14" s="125">
        <v>0</v>
      </c>
      <c r="AR14" s="125">
        <v>0</v>
      </c>
      <c r="AS14" s="125">
        <v>0</v>
      </c>
      <c r="AT14" s="125">
        <v>7</v>
      </c>
    </row>
    <row r="15" spans="1:60" ht="150" x14ac:dyDescent="0.25">
      <c r="A15" s="2">
        <v>9</v>
      </c>
      <c r="B15" s="30" t="s">
        <v>105</v>
      </c>
      <c r="C15" s="2">
        <v>90622324</v>
      </c>
      <c r="D15" s="2" t="s">
        <v>9</v>
      </c>
      <c r="E15" s="2" t="s">
        <v>9</v>
      </c>
      <c r="F15" s="2" t="s">
        <v>9</v>
      </c>
      <c r="G15" s="2"/>
      <c r="H15" s="2" t="s">
        <v>9</v>
      </c>
      <c r="I15" s="3" t="s">
        <v>188</v>
      </c>
      <c r="J15" s="13" t="s">
        <v>9</v>
      </c>
      <c r="K15" s="14"/>
      <c r="L15" s="13" t="s">
        <v>9</v>
      </c>
      <c r="M15" s="14"/>
      <c r="N15" s="16" t="s">
        <v>9</v>
      </c>
      <c r="O15" s="13" t="s">
        <v>9</v>
      </c>
      <c r="P15" s="13"/>
      <c r="Q15" s="16" t="s">
        <v>9</v>
      </c>
      <c r="R15" s="13" t="s">
        <v>9</v>
      </c>
      <c r="S15" s="14"/>
      <c r="T15" s="13" t="s">
        <v>9</v>
      </c>
      <c r="U15" s="14"/>
      <c r="V15" s="13" t="s">
        <v>9</v>
      </c>
      <c r="W15" s="14"/>
      <c r="X15" s="13" t="s">
        <v>9</v>
      </c>
      <c r="Y15" s="14"/>
      <c r="Z15" s="16" t="s">
        <v>9</v>
      </c>
      <c r="AA15" s="13" t="s">
        <v>9</v>
      </c>
      <c r="AB15" s="14"/>
      <c r="AC15" s="13" t="s">
        <v>9</v>
      </c>
      <c r="AD15" s="15"/>
      <c r="AE15" s="16" t="s">
        <v>9</v>
      </c>
      <c r="AF15" s="13" t="s">
        <v>9</v>
      </c>
      <c r="AG15" s="14"/>
      <c r="AH15" s="16" t="s">
        <v>9</v>
      </c>
      <c r="AI15" s="13"/>
      <c r="AJ15" s="13"/>
      <c r="AK15" s="13"/>
      <c r="AL15" s="13"/>
      <c r="AM15" s="13"/>
      <c r="AN15" s="13"/>
      <c r="AO15" s="16"/>
      <c r="AP15" s="125">
        <v>39</v>
      </c>
      <c r="AQ15" s="125">
        <v>0</v>
      </c>
      <c r="AR15" s="125">
        <v>0</v>
      </c>
      <c r="AS15" s="125">
        <v>0</v>
      </c>
      <c r="AT15" s="125">
        <v>1</v>
      </c>
    </row>
    <row r="16" spans="1:60" ht="180" x14ac:dyDescent="0.25">
      <c r="A16" s="2">
        <v>10</v>
      </c>
      <c r="B16" s="30" t="s">
        <v>106</v>
      </c>
      <c r="C16" s="2">
        <v>90638291</v>
      </c>
      <c r="D16" s="2" t="s">
        <v>9</v>
      </c>
      <c r="E16" s="2" t="s">
        <v>9</v>
      </c>
      <c r="F16" s="2" t="s">
        <v>9</v>
      </c>
      <c r="G16" s="2"/>
      <c r="H16" s="2" t="s">
        <v>9</v>
      </c>
      <c r="I16" s="3" t="s">
        <v>187</v>
      </c>
      <c r="J16" s="13" t="s">
        <v>9</v>
      </c>
      <c r="K16" s="14"/>
      <c r="L16" s="13" t="s">
        <v>9</v>
      </c>
      <c r="M16" s="14"/>
      <c r="N16" s="16" t="s">
        <v>9</v>
      </c>
      <c r="O16" s="13" t="s">
        <v>9</v>
      </c>
      <c r="P16" s="13"/>
      <c r="Q16" s="16" t="s">
        <v>9</v>
      </c>
      <c r="R16" s="13" t="s">
        <v>9</v>
      </c>
      <c r="S16" s="14"/>
      <c r="T16" s="13" t="s">
        <v>9</v>
      </c>
      <c r="U16" s="14"/>
      <c r="V16" s="13" t="s">
        <v>9</v>
      </c>
      <c r="W16" s="14"/>
      <c r="X16" s="13" t="s">
        <v>9</v>
      </c>
      <c r="Y16" s="14"/>
      <c r="Z16" s="16" t="s">
        <v>9</v>
      </c>
      <c r="AA16" s="13" t="s">
        <v>9</v>
      </c>
      <c r="AB16" s="14"/>
      <c r="AC16" s="13" t="s">
        <v>9</v>
      </c>
      <c r="AD16" s="15"/>
      <c r="AE16" s="16" t="s">
        <v>9</v>
      </c>
      <c r="AF16" s="13" t="s">
        <v>9</v>
      </c>
      <c r="AG16" s="14"/>
      <c r="AH16" s="16" t="s">
        <v>9</v>
      </c>
      <c r="AI16" s="13"/>
      <c r="AJ16" s="13"/>
      <c r="AK16" s="13"/>
      <c r="AL16" s="13"/>
      <c r="AM16" s="13"/>
      <c r="AN16" s="13"/>
      <c r="AO16" s="16"/>
      <c r="AP16" s="125">
        <v>39</v>
      </c>
      <c r="AQ16" s="125">
        <v>0</v>
      </c>
      <c r="AR16" s="125">
        <v>0</v>
      </c>
      <c r="AS16" s="125">
        <v>0</v>
      </c>
      <c r="AT16" s="125">
        <v>1</v>
      </c>
    </row>
    <row r="17" spans="1:46" ht="195" x14ac:dyDescent="0.25">
      <c r="A17" s="2">
        <v>11</v>
      </c>
      <c r="B17" s="30" t="s">
        <v>107</v>
      </c>
      <c r="C17" s="2">
        <v>90948003</v>
      </c>
      <c r="D17" s="2" t="s">
        <v>9</v>
      </c>
      <c r="E17" s="2" t="s">
        <v>9</v>
      </c>
      <c r="F17" s="2" t="s">
        <v>52</v>
      </c>
      <c r="G17" s="2"/>
      <c r="H17" s="2" t="s">
        <v>9</v>
      </c>
      <c r="I17" s="3" t="s">
        <v>185</v>
      </c>
      <c r="J17" s="13" t="s">
        <v>9</v>
      </c>
      <c r="K17" s="14"/>
      <c r="L17" s="13" t="s">
        <v>9</v>
      </c>
      <c r="M17" s="14"/>
      <c r="N17" s="16" t="s">
        <v>9</v>
      </c>
      <c r="O17" s="13" t="s">
        <v>9</v>
      </c>
      <c r="P17" s="13"/>
      <c r="Q17" s="16" t="s">
        <v>9</v>
      </c>
      <c r="R17" s="13" t="s">
        <v>9</v>
      </c>
      <c r="S17" s="14"/>
      <c r="T17" s="13" t="s">
        <v>9</v>
      </c>
      <c r="U17" s="14"/>
      <c r="V17" s="13" t="s">
        <v>9</v>
      </c>
      <c r="W17" s="14"/>
      <c r="X17" s="13" t="s">
        <v>9</v>
      </c>
      <c r="Y17" s="14"/>
      <c r="Z17" s="16" t="s">
        <v>9</v>
      </c>
      <c r="AA17" s="13" t="s">
        <v>9</v>
      </c>
      <c r="AB17" s="14"/>
      <c r="AC17" s="13" t="s">
        <v>9</v>
      </c>
      <c r="AD17" s="15"/>
      <c r="AE17" s="16" t="s">
        <v>9</v>
      </c>
      <c r="AF17" s="13" t="s">
        <v>9</v>
      </c>
      <c r="AG17" s="14"/>
      <c r="AH17" s="16" t="s">
        <v>9</v>
      </c>
      <c r="AI17" s="13"/>
      <c r="AJ17" s="13"/>
      <c r="AK17" s="13"/>
      <c r="AL17" s="13"/>
      <c r="AM17" s="13"/>
      <c r="AN17" s="13"/>
      <c r="AO17" s="16"/>
      <c r="AP17" s="125">
        <v>35</v>
      </c>
      <c r="AQ17" s="125">
        <v>0</v>
      </c>
      <c r="AR17" s="125">
        <v>0</v>
      </c>
      <c r="AS17" s="125">
        <v>0</v>
      </c>
      <c r="AT17" s="125">
        <v>5</v>
      </c>
    </row>
    <row r="18" spans="1:46" ht="135" x14ac:dyDescent="0.25">
      <c r="A18" s="2">
        <v>12</v>
      </c>
      <c r="B18" s="30" t="s">
        <v>108</v>
      </c>
      <c r="C18" s="2">
        <v>90176103</v>
      </c>
      <c r="D18" s="2" t="s">
        <v>9</v>
      </c>
      <c r="E18" s="2" t="s">
        <v>9</v>
      </c>
      <c r="F18" s="2" t="s">
        <v>9</v>
      </c>
      <c r="G18" s="2"/>
      <c r="H18" s="2" t="s">
        <v>9</v>
      </c>
      <c r="I18" s="3" t="s">
        <v>186</v>
      </c>
      <c r="J18" s="13" t="s">
        <v>9</v>
      </c>
      <c r="K18" s="14"/>
      <c r="L18" s="13" t="s">
        <v>9</v>
      </c>
      <c r="M18" s="14"/>
      <c r="N18" s="16" t="s">
        <v>9</v>
      </c>
      <c r="O18" s="13" t="s">
        <v>9</v>
      </c>
      <c r="P18" s="13"/>
      <c r="Q18" s="16" t="s">
        <v>9</v>
      </c>
      <c r="R18" s="13" t="s">
        <v>9</v>
      </c>
      <c r="S18" s="14"/>
      <c r="T18" s="13" t="s">
        <v>9</v>
      </c>
      <c r="U18" s="14"/>
      <c r="V18" s="13" t="s">
        <v>9</v>
      </c>
      <c r="W18" s="14"/>
      <c r="X18" s="13" t="s">
        <v>9</v>
      </c>
      <c r="Y18" s="14"/>
      <c r="Z18" s="16" t="s">
        <v>9</v>
      </c>
      <c r="AA18" s="13" t="s">
        <v>9</v>
      </c>
      <c r="AB18" s="14"/>
      <c r="AC18" s="13" t="s">
        <v>9</v>
      </c>
      <c r="AD18" s="15"/>
      <c r="AE18" s="16" t="s">
        <v>9</v>
      </c>
      <c r="AF18" s="13" t="s">
        <v>9</v>
      </c>
      <c r="AG18" s="14"/>
      <c r="AH18" s="16" t="s">
        <v>9</v>
      </c>
      <c r="AI18" s="13"/>
      <c r="AJ18" s="13"/>
      <c r="AK18" s="13"/>
      <c r="AL18" s="13"/>
      <c r="AM18" s="13"/>
      <c r="AN18" s="13"/>
      <c r="AO18" s="16"/>
      <c r="AP18" s="125">
        <v>37</v>
      </c>
      <c r="AQ18" s="125">
        <v>0</v>
      </c>
      <c r="AR18" s="125">
        <v>0</v>
      </c>
      <c r="AS18" s="125">
        <v>0</v>
      </c>
      <c r="AT18" s="125">
        <v>3</v>
      </c>
    </row>
    <row r="19" spans="1:46" ht="165" x14ac:dyDescent="0.25">
      <c r="A19" s="2">
        <v>13</v>
      </c>
      <c r="B19" s="30" t="s">
        <v>109</v>
      </c>
      <c r="C19" s="2">
        <v>90334943</v>
      </c>
      <c r="D19" s="2" t="s">
        <v>9</v>
      </c>
      <c r="E19" s="2" t="s">
        <v>9</v>
      </c>
      <c r="F19" s="2" t="s">
        <v>9</v>
      </c>
      <c r="G19" s="2"/>
      <c r="H19" s="2" t="s">
        <v>9</v>
      </c>
      <c r="I19" s="3" t="s">
        <v>184</v>
      </c>
      <c r="J19" s="13" t="s">
        <v>9</v>
      </c>
      <c r="K19" s="14"/>
      <c r="L19" s="13" t="s">
        <v>9</v>
      </c>
      <c r="M19" s="14"/>
      <c r="N19" s="16" t="s">
        <v>9</v>
      </c>
      <c r="O19" s="13" t="s">
        <v>9</v>
      </c>
      <c r="P19" s="13"/>
      <c r="Q19" s="16" t="s">
        <v>9</v>
      </c>
      <c r="R19" s="13" t="s">
        <v>9</v>
      </c>
      <c r="S19" s="14"/>
      <c r="T19" s="13" t="s">
        <v>9</v>
      </c>
      <c r="U19" s="14"/>
      <c r="V19" s="13" t="s">
        <v>9</v>
      </c>
      <c r="W19" s="14"/>
      <c r="X19" s="13" t="s">
        <v>9</v>
      </c>
      <c r="Y19" s="14"/>
      <c r="Z19" s="16" t="s">
        <v>9</v>
      </c>
      <c r="AA19" s="13" t="s">
        <v>9</v>
      </c>
      <c r="AB19" s="14"/>
      <c r="AC19" s="13" t="s">
        <v>9</v>
      </c>
      <c r="AD19" s="15"/>
      <c r="AE19" s="16" t="s">
        <v>9</v>
      </c>
      <c r="AF19" s="13" t="s">
        <v>9</v>
      </c>
      <c r="AG19" s="14"/>
      <c r="AH19" s="16" t="s">
        <v>9</v>
      </c>
      <c r="AI19" s="13"/>
      <c r="AJ19" s="13"/>
      <c r="AK19" s="13"/>
      <c r="AL19" s="13"/>
      <c r="AM19" s="13"/>
      <c r="AN19" s="13"/>
      <c r="AO19" s="16"/>
      <c r="AP19" s="125">
        <v>34</v>
      </c>
      <c r="AQ19" s="125">
        <v>0</v>
      </c>
      <c r="AR19" s="125">
        <v>0</v>
      </c>
      <c r="AS19" s="125">
        <v>0</v>
      </c>
      <c r="AT19" s="125">
        <v>6</v>
      </c>
    </row>
    <row r="20" spans="1:46" ht="135" x14ac:dyDescent="0.25">
      <c r="A20" s="2">
        <v>14</v>
      </c>
      <c r="B20" s="30" t="s">
        <v>110</v>
      </c>
      <c r="C20" s="2">
        <v>90711556</v>
      </c>
      <c r="D20" s="2" t="s">
        <v>9</v>
      </c>
      <c r="E20" s="2" t="s">
        <v>9</v>
      </c>
      <c r="F20" s="2" t="s">
        <v>9</v>
      </c>
      <c r="G20" s="2"/>
      <c r="H20" s="2" t="s">
        <v>9</v>
      </c>
      <c r="I20" s="3" t="s">
        <v>183</v>
      </c>
      <c r="J20" s="13" t="s">
        <v>9</v>
      </c>
      <c r="K20" s="14"/>
      <c r="L20" s="13" t="s">
        <v>9</v>
      </c>
      <c r="M20" s="14"/>
      <c r="N20" s="16" t="s">
        <v>9</v>
      </c>
      <c r="O20" s="13" t="s">
        <v>9</v>
      </c>
      <c r="P20" s="13"/>
      <c r="Q20" s="16" t="s">
        <v>9</v>
      </c>
      <c r="R20" s="13" t="s">
        <v>9</v>
      </c>
      <c r="S20" s="14"/>
      <c r="T20" s="13" t="s">
        <v>9</v>
      </c>
      <c r="U20" s="14"/>
      <c r="V20" s="13" t="s">
        <v>9</v>
      </c>
      <c r="W20" s="14"/>
      <c r="X20" s="13" t="s">
        <v>9</v>
      </c>
      <c r="Y20" s="14"/>
      <c r="Z20" s="16" t="s">
        <v>9</v>
      </c>
      <c r="AA20" s="13" t="s">
        <v>9</v>
      </c>
      <c r="AB20" s="14"/>
      <c r="AC20" s="13" t="s">
        <v>9</v>
      </c>
      <c r="AD20" s="15"/>
      <c r="AE20" s="16" t="s">
        <v>9</v>
      </c>
      <c r="AF20" s="13" t="s">
        <v>9</v>
      </c>
      <c r="AG20" s="14"/>
      <c r="AH20" s="16" t="s">
        <v>9</v>
      </c>
      <c r="AI20" s="13"/>
      <c r="AJ20" s="13"/>
      <c r="AK20" s="13"/>
      <c r="AL20" s="13"/>
      <c r="AM20" s="13"/>
      <c r="AN20" s="13"/>
      <c r="AO20" s="16"/>
      <c r="AP20" s="125">
        <v>40</v>
      </c>
      <c r="AQ20" s="125">
        <v>0</v>
      </c>
      <c r="AR20" s="125">
        <v>0</v>
      </c>
      <c r="AS20" s="125">
        <v>0</v>
      </c>
      <c r="AT20" s="125">
        <v>0</v>
      </c>
    </row>
    <row r="21" spans="1:46" ht="135" x14ac:dyDescent="0.25">
      <c r="A21" s="2">
        <v>15</v>
      </c>
      <c r="B21" s="30" t="s">
        <v>111</v>
      </c>
      <c r="C21" s="2">
        <v>90361940</v>
      </c>
      <c r="D21" s="2" t="s">
        <v>9</v>
      </c>
      <c r="E21" s="2" t="s">
        <v>9</v>
      </c>
      <c r="F21" s="2" t="s">
        <v>9</v>
      </c>
      <c r="G21" s="2"/>
      <c r="H21" s="2" t="s">
        <v>9</v>
      </c>
      <c r="I21" s="3" t="s">
        <v>182</v>
      </c>
      <c r="J21" s="13" t="s">
        <v>9</v>
      </c>
      <c r="K21" s="14"/>
      <c r="L21" s="13" t="s">
        <v>9</v>
      </c>
      <c r="M21" s="14"/>
      <c r="N21" s="16" t="s">
        <v>9</v>
      </c>
      <c r="O21" s="13" t="s">
        <v>9</v>
      </c>
      <c r="P21" s="13"/>
      <c r="Q21" s="16" t="s">
        <v>9</v>
      </c>
      <c r="R21" s="13" t="s">
        <v>9</v>
      </c>
      <c r="S21" s="14"/>
      <c r="T21" s="13" t="s">
        <v>9</v>
      </c>
      <c r="U21" s="14"/>
      <c r="V21" s="13" t="s">
        <v>9</v>
      </c>
      <c r="W21" s="14"/>
      <c r="X21" s="13" t="s">
        <v>9</v>
      </c>
      <c r="Y21" s="14"/>
      <c r="Z21" s="16" t="s">
        <v>9</v>
      </c>
      <c r="AA21" s="13" t="s">
        <v>9</v>
      </c>
      <c r="AB21" s="14"/>
      <c r="AC21" s="13" t="s">
        <v>9</v>
      </c>
      <c r="AD21" s="15"/>
      <c r="AE21" s="16" t="s">
        <v>9</v>
      </c>
      <c r="AF21" s="13" t="s">
        <v>9</v>
      </c>
      <c r="AG21" s="14"/>
      <c r="AH21" s="16" t="s">
        <v>9</v>
      </c>
      <c r="AI21" s="13"/>
      <c r="AJ21" s="13"/>
      <c r="AK21" s="13"/>
      <c r="AL21" s="13"/>
      <c r="AM21" s="13"/>
      <c r="AN21" s="13"/>
      <c r="AO21" s="16"/>
      <c r="AP21" s="125">
        <v>39</v>
      </c>
      <c r="AQ21" s="125">
        <v>0</v>
      </c>
      <c r="AR21" s="125">
        <v>0</v>
      </c>
      <c r="AS21" s="125">
        <v>0</v>
      </c>
      <c r="AT21" s="125">
        <v>1</v>
      </c>
    </row>
    <row r="22" spans="1:46" ht="60" x14ac:dyDescent="0.25">
      <c r="A22" s="2">
        <v>16</v>
      </c>
      <c r="B22" s="30" t="s">
        <v>112</v>
      </c>
      <c r="C22" s="2">
        <v>90535444</v>
      </c>
      <c r="D22" s="2"/>
      <c r="E22" s="2"/>
      <c r="F22" s="2"/>
      <c r="G22" s="2"/>
      <c r="H22" s="2"/>
      <c r="I22" s="4"/>
      <c r="J22" s="13"/>
      <c r="K22" s="14"/>
      <c r="L22" s="13"/>
      <c r="M22" s="14"/>
      <c r="N22" s="16"/>
      <c r="O22" s="13"/>
      <c r="P22" s="13"/>
      <c r="Q22" s="16"/>
      <c r="R22" s="13"/>
      <c r="S22" s="14"/>
      <c r="T22" s="13"/>
      <c r="U22" s="14"/>
      <c r="V22" s="13"/>
      <c r="W22" s="14"/>
      <c r="X22" s="13"/>
      <c r="Y22" s="14"/>
      <c r="Z22" s="16"/>
      <c r="AA22" s="13"/>
      <c r="AB22" s="14"/>
      <c r="AC22" s="13"/>
      <c r="AD22" s="15"/>
      <c r="AE22" s="16"/>
      <c r="AF22" s="13"/>
      <c r="AG22" s="14"/>
      <c r="AH22" s="16"/>
      <c r="AI22" s="13"/>
      <c r="AJ22" s="13"/>
      <c r="AK22" s="13"/>
      <c r="AL22" s="13"/>
      <c r="AM22" s="13"/>
      <c r="AN22" s="13"/>
      <c r="AO22" s="16"/>
      <c r="AP22" s="125">
        <v>0</v>
      </c>
      <c r="AQ22" s="125">
        <v>0</v>
      </c>
      <c r="AR22" s="125">
        <v>0</v>
      </c>
      <c r="AS22" s="125">
        <v>0</v>
      </c>
      <c r="AT22" s="125">
        <v>0</v>
      </c>
    </row>
    <row r="23" spans="1:46" ht="120" x14ac:dyDescent="0.25">
      <c r="A23" s="2">
        <v>17</v>
      </c>
      <c r="B23" s="30" t="s">
        <v>113</v>
      </c>
      <c r="C23" s="2">
        <v>90337746</v>
      </c>
      <c r="D23" s="2" t="s">
        <v>9</v>
      </c>
      <c r="E23" s="2" t="s">
        <v>9</v>
      </c>
      <c r="F23" s="2" t="s">
        <v>9</v>
      </c>
      <c r="G23" s="2"/>
      <c r="H23" s="2" t="s">
        <v>9</v>
      </c>
      <c r="I23" s="3" t="s">
        <v>197</v>
      </c>
      <c r="J23" s="13" t="s">
        <v>9</v>
      </c>
      <c r="K23" s="14"/>
      <c r="L23" s="13" t="s">
        <v>9</v>
      </c>
      <c r="M23" s="14"/>
      <c r="N23" s="16" t="s">
        <v>9</v>
      </c>
      <c r="O23" s="13" t="s">
        <v>9</v>
      </c>
      <c r="P23" s="13"/>
      <c r="Q23" s="16" t="s">
        <v>9</v>
      </c>
      <c r="R23" s="13" t="s">
        <v>9</v>
      </c>
      <c r="S23" s="14"/>
      <c r="T23" s="13" t="s">
        <v>9</v>
      </c>
      <c r="U23" s="14"/>
      <c r="V23" s="13" t="s">
        <v>9</v>
      </c>
      <c r="W23" s="14"/>
      <c r="X23" s="13" t="s">
        <v>9</v>
      </c>
      <c r="Y23" s="14"/>
      <c r="Z23" s="16" t="s">
        <v>9</v>
      </c>
      <c r="AA23" s="13" t="s">
        <v>9</v>
      </c>
      <c r="AB23" s="14"/>
      <c r="AC23" s="13" t="s">
        <v>9</v>
      </c>
      <c r="AD23" s="15"/>
      <c r="AE23" s="16" t="s">
        <v>9</v>
      </c>
      <c r="AF23" s="13" t="s">
        <v>9</v>
      </c>
      <c r="AG23" s="14"/>
      <c r="AH23" s="16" t="s">
        <v>9</v>
      </c>
      <c r="AI23" s="13"/>
      <c r="AJ23" s="13"/>
      <c r="AK23" s="13"/>
      <c r="AL23" s="13"/>
      <c r="AM23" s="13"/>
      <c r="AN23" s="13"/>
      <c r="AO23" s="16"/>
      <c r="AP23" s="125">
        <v>33</v>
      </c>
      <c r="AQ23" s="125">
        <v>0</v>
      </c>
      <c r="AR23" s="125">
        <v>0</v>
      </c>
      <c r="AS23" s="125">
        <v>0</v>
      </c>
      <c r="AT23" s="125">
        <v>7</v>
      </c>
    </row>
    <row r="24" spans="1:46" ht="180" x14ac:dyDescent="0.25">
      <c r="A24" s="2">
        <v>18</v>
      </c>
      <c r="B24" s="30" t="s">
        <v>114</v>
      </c>
      <c r="C24" s="2">
        <v>90568545</v>
      </c>
      <c r="D24" s="2" t="s">
        <v>52</v>
      </c>
      <c r="E24" s="2" t="s">
        <v>9</v>
      </c>
      <c r="F24" s="2" t="s">
        <v>9</v>
      </c>
      <c r="G24" s="2"/>
      <c r="H24" s="2" t="s">
        <v>9</v>
      </c>
      <c r="I24" s="3" t="s">
        <v>196</v>
      </c>
      <c r="J24" s="13" t="s">
        <v>9</v>
      </c>
      <c r="K24" s="14"/>
      <c r="L24" s="13" t="s">
        <v>9</v>
      </c>
      <c r="M24" s="14"/>
      <c r="N24" s="16" t="s">
        <v>9</v>
      </c>
      <c r="O24" s="13" t="s">
        <v>9</v>
      </c>
      <c r="P24" s="13"/>
      <c r="Q24" s="16" t="s">
        <v>9</v>
      </c>
      <c r="R24" s="13" t="s">
        <v>9</v>
      </c>
      <c r="S24" s="14"/>
      <c r="T24" s="13" t="s">
        <v>9</v>
      </c>
      <c r="U24" s="14"/>
      <c r="V24" s="13" t="s">
        <v>9</v>
      </c>
      <c r="W24" s="14"/>
      <c r="X24" s="13" t="s">
        <v>9</v>
      </c>
      <c r="Y24" s="14"/>
      <c r="Z24" s="16" t="s">
        <v>9</v>
      </c>
      <c r="AA24" s="13" t="s">
        <v>9</v>
      </c>
      <c r="AB24" s="14"/>
      <c r="AC24" s="13" t="s">
        <v>9</v>
      </c>
      <c r="AD24" s="15"/>
      <c r="AE24" s="16" t="s">
        <v>9</v>
      </c>
      <c r="AF24" s="13" t="s">
        <v>9</v>
      </c>
      <c r="AG24" s="14"/>
      <c r="AH24" s="16" t="s">
        <v>9</v>
      </c>
      <c r="AI24" s="13"/>
      <c r="AJ24" s="13"/>
      <c r="AK24" s="13"/>
      <c r="AL24" s="13"/>
      <c r="AM24" s="13"/>
      <c r="AN24" s="13"/>
      <c r="AO24" s="16"/>
      <c r="AP24" s="125">
        <v>34</v>
      </c>
      <c r="AQ24" s="125">
        <v>0</v>
      </c>
      <c r="AR24" s="125">
        <v>0</v>
      </c>
      <c r="AS24" s="125">
        <v>0</v>
      </c>
      <c r="AT24" s="125">
        <v>6</v>
      </c>
    </row>
    <row r="25" spans="1:46" ht="165" x14ac:dyDescent="0.25">
      <c r="A25" s="2">
        <v>19</v>
      </c>
      <c r="B25" s="30" t="s">
        <v>115</v>
      </c>
      <c r="C25" s="2">
        <v>90512463</v>
      </c>
      <c r="D25" s="2" t="s">
        <v>9</v>
      </c>
      <c r="E25" s="2" t="s">
        <v>9</v>
      </c>
      <c r="F25" s="2" t="s">
        <v>9</v>
      </c>
      <c r="G25" s="2"/>
      <c r="H25" s="2" t="s">
        <v>9</v>
      </c>
      <c r="I25" s="3" t="s">
        <v>200</v>
      </c>
      <c r="J25" s="13" t="s">
        <v>9</v>
      </c>
      <c r="K25" s="14"/>
      <c r="L25" s="13" t="s">
        <v>9</v>
      </c>
      <c r="M25" s="14"/>
      <c r="N25" s="16" t="s">
        <v>9</v>
      </c>
      <c r="O25" s="13" t="s">
        <v>9</v>
      </c>
      <c r="P25" s="13"/>
      <c r="Q25" s="16" t="s">
        <v>9</v>
      </c>
      <c r="R25" s="13" t="s">
        <v>9</v>
      </c>
      <c r="S25" s="14"/>
      <c r="T25" s="13" t="s">
        <v>9</v>
      </c>
      <c r="U25" s="14"/>
      <c r="V25" s="13" t="s">
        <v>9</v>
      </c>
      <c r="W25" s="14"/>
      <c r="X25" s="13" t="s">
        <v>9</v>
      </c>
      <c r="Y25" s="14"/>
      <c r="Z25" s="16" t="s">
        <v>9</v>
      </c>
      <c r="AA25" s="13" t="s">
        <v>9</v>
      </c>
      <c r="AB25" s="14"/>
      <c r="AC25" s="13" t="s">
        <v>9</v>
      </c>
      <c r="AD25" s="15"/>
      <c r="AE25" s="16" t="s">
        <v>9</v>
      </c>
      <c r="AF25" s="13" t="s">
        <v>9</v>
      </c>
      <c r="AG25" s="14"/>
      <c r="AH25" s="16" t="s">
        <v>9</v>
      </c>
      <c r="AI25" s="13"/>
      <c r="AJ25" s="13"/>
      <c r="AK25" s="13"/>
      <c r="AL25" s="13"/>
      <c r="AM25" s="13"/>
      <c r="AN25" s="13"/>
      <c r="AO25" s="16"/>
      <c r="AP25" s="125">
        <v>40</v>
      </c>
      <c r="AQ25" s="125">
        <v>0</v>
      </c>
      <c r="AR25" s="125">
        <v>0</v>
      </c>
      <c r="AS25" s="125">
        <v>0</v>
      </c>
      <c r="AT25" s="125">
        <v>0</v>
      </c>
    </row>
    <row r="26" spans="1:46" ht="255" x14ac:dyDescent="0.25">
      <c r="A26" s="2">
        <v>20</v>
      </c>
      <c r="B26" s="30" t="s">
        <v>116</v>
      </c>
      <c r="C26" s="2">
        <v>90465983</v>
      </c>
      <c r="D26" s="2" t="s">
        <v>9</v>
      </c>
      <c r="E26" s="2" t="s">
        <v>9</v>
      </c>
      <c r="F26" s="2" t="s">
        <v>52</v>
      </c>
      <c r="G26" s="2"/>
      <c r="H26" s="2" t="s">
        <v>9</v>
      </c>
      <c r="I26" s="3" t="s">
        <v>199</v>
      </c>
      <c r="J26" s="13" t="s">
        <v>9</v>
      </c>
      <c r="K26" s="14"/>
      <c r="L26" s="13" t="s">
        <v>9</v>
      </c>
      <c r="M26" s="14"/>
      <c r="N26" s="16" t="s">
        <v>9</v>
      </c>
      <c r="O26" s="13" t="s">
        <v>9</v>
      </c>
      <c r="P26" s="13"/>
      <c r="Q26" s="16" t="s">
        <v>9</v>
      </c>
      <c r="R26" s="13" t="s">
        <v>9</v>
      </c>
      <c r="S26" s="14"/>
      <c r="T26" s="13" t="s">
        <v>52</v>
      </c>
      <c r="U26" s="14"/>
      <c r="V26" s="13" t="s">
        <v>9</v>
      </c>
      <c r="W26" s="14"/>
      <c r="X26" s="13" t="s">
        <v>9</v>
      </c>
      <c r="Y26" s="14"/>
      <c r="Z26" s="16" t="s">
        <v>9</v>
      </c>
      <c r="AA26" s="13" t="s">
        <v>9</v>
      </c>
      <c r="AB26" s="14"/>
      <c r="AC26" s="13" t="s">
        <v>9</v>
      </c>
      <c r="AD26" s="15"/>
      <c r="AE26" s="16" t="s">
        <v>9</v>
      </c>
      <c r="AF26" s="13" t="s">
        <v>9</v>
      </c>
      <c r="AG26" s="14"/>
      <c r="AH26" s="16" t="s">
        <v>9</v>
      </c>
      <c r="AI26" s="13"/>
      <c r="AJ26" s="13"/>
      <c r="AK26" s="13"/>
      <c r="AL26" s="13"/>
      <c r="AM26" s="13"/>
      <c r="AN26" s="13"/>
      <c r="AO26" s="16"/>
      <c r="AP26" s="125">
        <v>33</v>
      </c>
      <c r="AQ26" s="125">
        <v>0</v>
      </c>
      <c r="AR26" s="125">
        <v>0</v>
      </c>
      <c r="AS26" s="125">
        <v>0</v>
      </c>
      <c r="AT26" s="125">
        <v>7</v>
      </c>
    </row>
    <row r="27" spans="1:46" ht="180" x14ac:dyDescent="0.25">
      <c r="A27" s="2">
        <v>21</v>
      </c>
      <c r="B27" s="30" t="s">
        <v>117</v>
      </c>
      <c r="C27" s="2">
        <v>90260051</v>
      </c>
      <c r="D27" s="2" t="s">
        <v>9</v>
      </c>
      <c r="E27" s="2" t="s">
        <v>9</v>
      </c>
      <c r="F27" s="2" t="s">
        <v>52</v>
      </c>
      <c r="G27" s="2"/>
      <c r="H27" s="2" t="s">
        <v>9</v>
      </c>
      <c r="I27" s="3" t="s">
        <v>198</v>
      </c>
      <c r="J27" s="13" t="s">
        <v>9</v>
      </c>
      <c r="K27" s="14"/>
      <c r="L27" s="13" t="s">
        <v>9</v>
      </c>
      <c r="M27" s="14"/>
      <c r="N27" s="16" t="s">
        <v>9</v>
      </c>
      <c r="O27" s="13" t="s">
        <v>9</v>
      </c>
      <c r="P27" s="13"/>
      <c r="Q27" s="16" t="s">
        <v>9</v>
      </c>
      <c r="R27" s="13" t="s">
        <v>9</v>
      </c>
      <c r="S27" s="14"/>
      <c r="T27" s="13" t="s">
        <v>9</v>
      </c>
      <c r="U27" s="14"/>
      <c r="V27" s="13" t="s">
        <v>9</v>
      </c>
      <c r="W27" s="14"/>
      <c r="X27" s="13" t="s">
        <v>9</v>
      </c>
      <c r="Y27" s="14"/>
      <c r="Z27" s="16" t="s">
        <v>9</v>
      </c>
      <c r="AA27" s="13" t="s">
        <v>9</v>
      </c>
      <c r="AB27" s="14"/>
      <c r="AC27" s="13" t="s">
        <v>9</v>
      </c>
      <c r="AD27" s="15"/>
      <c r="AE27" s="16" t="s">
        <v>9</v>
      </c>
      <c r="AF27" s="13" t="s">
        <v>9</v>
      </c>
      <c r="AG27" s="14"/>
      <c r="AH27" s="16" t="s">
        <v>9</v>
      </c>
      <c r="AI27" s="13"/>
      <c r="AJ27" s="13"/>
      <c r="AK27" s="13"/>
      <c r="AL27" s="13"/>
      <c r="AM27" s="13"/>
      <c r="AN27" s="13"/>
      <c r="AO27" s="16"/>
      <c r="AP27" s="125">
        <v>33</v>
      </c>
      <c r="AQ27" s="125">
        <v>0</v>
      </c>
      <c r="AR27" s="125">
        <v>0</v>
      </c>
      <c r="AS27" s="125">
        <v>0</v>
      </c>
      <c r="AT27" s="125">
        <v>7</v>
      </c>
    </row>
    <row r="28" spans="1:46" ht="16.5" x14ac:dyDescent="0.25">
      <c r="A28" s="2">
        <v>22</v>
      </c>
      <c r="B28" s="7"/>
      <c r="C28" s="2"/>
      <c r="D28" s="2"/>
      <c r="E28" s="2"/>
      <c r="F28" s="2"/>
      <c r="G28" s="2"/>
      <c r="H28" s="2"/>
      <c r="I28" s="4"/>
      <c r="J28" s="13"/>
      <c r="K28" s="14"/>
      <c r="L28" s="13"/>
      <c r="M28" s="14"/>
      <c r="N28" s="16"/>
      <c r="O28" s="13"/>
      <c r="P28" s="13"/>
      <c r="Q28" s="16"/>
      <c r="R28" s="13"/>
      <c r="S28" s="14"/>
      <c r="T28" s="13"/>
      <c r="U28" s="14"/>
      <c r="V28" s="13"/>
      <c r="W28" s="14"/>
      <c r="X28" s="13"/>
      <c r="Y28" s="14"/>
      <c r="Z28" s="16"/>
      <c r="AA28" s="13"/>
      <c r="AB28" s="14"/>
      <c r="AC28" s="13"/>
      <c r="AD28" s="15"/>
      <c r="AE28" s="16"/>
      <c r="AF28" s="13"/>
      <c r="AG28" s="14"/>
      <c r="AH28" s="16"/>
      <c r="AI28" s="13"/>
      <c r="AJ28" s="13"/>
      <c r="AK28" s="13"/>
      <c r="AL28" s="13"/>
      <c r="AM28" s="13"/>
      <c r="AN28" s="13"/>
      <c r="AO28" s="16"/>
      <c r="AP28" s="17"/>
      <c r="AQ28" s="17"/>
      <c r="AR28" s="17"/>
      <c r="AS28" s="17"/>
      <c r="AT28" s="17"/>
    </row>
    <row r="29" spans="1:46" ht="16.5" x14ac:dyDescent="0.25">
      <c r="A29" s="2">
        <v>23</v>
      </c>
      <c r="B29" s="7"/>
      <c r="C29" s="2"/>
      <c r="D29" s="2"/>
      <c r="E29" s="2"/>
      <c r="F29" s="2"/>
      <c r="G29" s="2"/>
      <c r="H29" s="2"/>
      <c r="I29" s="4"/>
      <c r="J29" s="13"/>
      <c r="K29" s="14"/>
      <c r="L29" s="13"/>
      <c r="M29" s="14"/>
      <c r="N29" s="16"/>
      <c r="O29" s="13"/>
      <c r="P29" s="13"/>
      <c r="Q29" s="16"/>
      <c r="R29" s="13"/>
      <c r="S29" s="14"/>
      <c r="T29" s="13"/>
      <c r="U29" s="14"/>
      <c r="V29" s="13"/>
      <c r="W29" s="14"/>
      <c r="X29" s="13"/>
      <c r="Y29" s="14"/>
      <c r="Z29" s="16"/>
      <c r="AA29" s="13"/>
      <c r="AB29" s="14"/>
      <c r="AC29" s="13"/>
      <c r="AD29" s="15"/>
      <c r="AE29" s="16"/>
      <c r="AF29" s="13"/>
      <c r="AG29" s="14"/>
      <c r="AH29" s="16"/>
      <c r="AI29" s="13"/>
      <c r="AJ29" s="13"/>
      <c r="AK29" s="13"/>
      <c r="AL29" s="13"/>
      <c r="AM29" s="13"/>
      <c r="AN29" s="13"/>
      <c r="AO29" s="16"/>
      <c r="AP29" s="17"/>
      <c r="AQ29" s="17"/>
      <c r="AR29" s="17"/>
      <c r="AS29" s="17"/>
      <c r="AT29" s="17"/>
    </row>
    <row r="30" spans="1:46" ht="16.5" x14ac:dyDescent="0.25">
      <c r="A30" s="2">
        <v>24</v>
      </c>
      <c r="B30" s="7"/>
      <c r="C30" s="2"/>
      <c r="D30" s="2"/>
      <c r="E30" s="2"/>
      <c r="F30" s="2"/>
      <c r="G30" s="2"/>
      <c r="H30" s="2"/>
      <c r="I30" s="4"/>
      <c r="J30" s="13"/>
      <c r="K30" s="14"/>
      <c r="L30" s="13"/>
      <c r="M30" s="14"/>
      <c r="N30" s="16"/>
      <c r="O30" s="13"/>
      <c r="P30" s="13"/>
      <c r="Q30" s="16"/>
      <c r="R30" s="13"/>
      <c r="S30" s="14"/>
      <c r="T30" s="13"/>
      <c r="U30" s="14"/>
      <c r="V30" s="13"/>
      <c r="W30" s="14"/>
      <c r="X30" s="13"/>
      <c r="Y30" s="14"/>
      <c r="Z30" s="16"/>
      <c r="AA30" s="13"/>
      <c r="AB30" s="14"/>
      <c r="AC30" s="13"/>
      <c r="AD30" s="15"/>
      <c r="AE30" s="16"/>
      <c r="AF30" s="13"/>
      <c r="AG30" s="14"/>
      <c r="AH30" s="16"/>
      <c r="AI30" s="13"/>
      <c r="AJ30" s="13"/>
      <c r="AK30" s="13"/>
      <c r="AL30" s="13"/>
      <c r="AM30" s="13"/>
      <c r="AN30" s="13"/>
      <c r="AO30" s="16"/>
      <c r="AP30" s="17"/>
      <c r="AQ30" s="17"/>
      <c r="AR30" s="17"/>
      <c r="AS30" s="17"/>
      <c r="AT30" s="17"/>
    </row>
    <row r="31" spans="1:46" ht="16.5" x14ac:dyDescent="0.25">
      <c r="A31" s="2">
        <v>25</v>
      </c>
      <c r="B31" s="7"/>
      <c r="C31" s="2"/>
      <c r="D31" s="2"/>
      <c r="E31" s="2"/>
      <c r="F31" s="2"/>
      <c r="G31" s="2"/>
      <c r="H31" s="2"/>
      <c r="I31" s="4"/>
      <c r="J31" s="13"/>
      <c r="K31" s="14"/>
      <c r="L31" s="13"/>
      <c r="M31" s="14"/>
      <c r="N31" s="16"/>
      <c r="O31" s="13"/>
      <c r="P31" s="13"/>
      <c r="Q31" s="16"/>
      <c r="R31" s="13"/>
      <c r="S31" s="14"/>
      <c r="T31" s="13"/>
      <c r="U31" s="14"/>
      <c r="V31" s="13"/>
      <c r="W31" s="14"/>
      <c r="X31" s="13"/>
      <c r="Y31" s="14"/>
      <c r="Z31" s="16"/>
      <c r="AA31" s="13"/>
      <c r="AB31" s="14"/>
      <c r="AC31" s="13"/>
      <c r="AD31" s="15"/>
      <c r="AE31" s="16"/>
      <c r="AF31" s="13"/>
      <c r="AG31" s="14"/>
      <c r="AH31" s="16"/>
      <c r="AI31" s="13"/>
      <c r="AJ31" s="13"/>
      <c r="AK31" s="13"/>
      <c r="AL31" s="13"/>
      <c r="AM31" s="13"/>
      <c r="AN31" s="13"/>
      <c r="AO31" s="16"/>
      <c r="AP31" s="6"/>
      <c r="AQ31" s="6"/>
      <c r="AR31" s="6"/>
      <c r="AS31" s="6"/>
      <c r="AT31" s="6"/>
    </row>
    <row r="32" spans="1:46" ht="16.5" x14ac:dyDescent="0.25">
      <c r="A32" s="2">
        <v>26</v>
      </c>
      <c r="B32" s="7"/>
      <c r="C32" s="2"/>
      <c r="D32" s="2"/>
      <c r="E32" s="2"/>
      <c r="F32" s="2"/>
      <c r="G32" s="2"/>
      <c r="H32" s="2"/>
      <c r="I32" s="4"/>
      <c r="J32" s="13"/>
      <c r="K32" s="14"/>
      <c r="L32" s="13"/>
      <c r="M32" s="14"/>
      <c r="N32" s="16"/>
      <c r="O32" s="13"/>
      <c r="P32" s="13"/>
      <c r="Q32" s="16"/>
      <c r="R32" s="13"/>
      <c r="S32" s="14"/>
      <c r="T32" s="13"/>
      <c r="U32" s="14"/>
      <c r="V32" s="13"/>
      <c r="W32" s="14"/>
      <c r="X32" s="13"/>
      <c r="Y32" s="14"/>
      <c r="Z32" s="16"/>
      <c r="AA32" s="13"/>
      <c r="AB32" s="14"/>
      <c r="AC32" s="13"/>
      <c r="AD32" s="15"/>
      <c r="AE32" s="16"/>
      <c r="AF32" s="13"/>
      <c r="AG32" s="14"/>
      <c r="AH32" s="16"/>
      <c r="AI32" s="13"/>
      <c r="AJ32" s="13"/>
      <c r="AK32" s="13"/>
      <c r="AL32" s="13"/>
      <c r="AM32" s="13"/>
      <c r="AN32" s="13"/>
      <c r="AO32" s="16"/>
      <c r="AP32" s="6"/>
      <c r="AQ32" s="6"/>
      <c r="AR32" s="6"/>
      <c r="AS32" s="6"/>
      <c r="AT32" s="6"/>
    </row>
    <row r="33" spans="1:46" ht="16.5" x14ac:dyDescent="0.25">
      <c r="A33" s="2">
        <v>27</v>
      </c>
      <c r="B33" s="7"/>
      <c r="C33" s="2"/>
      <c r="D33" s="2"/>
      <c r="E33" s="2"/>
      <c r="F33" s="2"/>
      <c r="G33" s="2"/>
      <c r="H33" s="2"/>
      <c r="I33" s="4"/>
      <c r="J33" s="13"/>
      <c r="K33" s="14"/>
      <c r="L33" s="13"/>
      <c r="M33" s="14"/>
      <c r="N33" s="16"/>
      <c r="O33" s="13"/>
      <c r="P33" s="13"/>
      <c r="Q33" s="16"/>
      <c r="R33" s="13"/>
      <c r="S33" s="14"/>
      <c r="T33" s="13"/>
      <c r="U33" s="14"/>
      <c r="V33" s="13"/>
      <c r="W33" s="14"/>
      <c r="X33" s="13"/>
      <c r="Y33" s="14"/>
      <c r="Z33" s="16"/>
      <c r="AA33" s="13"/>
      <c r="AB33" s="14"/>
      <c r="AC33" s="13"/>
      <c r="AD33" s="15"/>
      <c r="AE33" s="16"/>
      <c r="AF33" s="13"/>
      <c r="AG33" s="14"/>
      <c r="AH33" s="16"/>
      <c r="AI33" s="13"/>
      <c r="AJ33" s="13"/>
      <c r="AK33" s="13"/>
      <c r="AL33" s="13"/>
      <c r="AM33" s="13"/>
      <c r="AN33" s="13"/>
      <c r="AO33" s="16"/>
      <c r="AP33" s="6"/>
      <c r="AQ33" s="6"/>
      <c r="AR33" s="6"/>
      <c r="AS33" s="6"/>
      <c r="AT33" s="6"/>
    </row>
    <row r="34" spans="1:46" ht="16.5" x14ac:dyDescent="0.25">
      <c r="A34" s="2">
        <v>28</v>
      </c>
      <c r="B34" s="7"/>
      <c r="C34" s="2"/>
      <c r="D34" s="2"/>
      <c r="E34" s="2"/>
      <c r="F34" s="2"/>
      <c r="G34" s="2"/>
      <c r="H34" s="2"/>
      <c r="I34" s="4"/>
      <c r="J34" s="13"/>
      <c r="K34" s="14"/>
      <c r="L34" s="13"/>
      <c r="M34" s="14"/>
      <c r="N34" s="16"/>
      <c r="O34" s="13"/>
      <c r="P34" s="13"/>
      <c r="Q34" s="16"/>
      <c r="R34" s="13"/>
      <c r="S34" s="14"/>
      <c r="T34" s="13"/>
      <c r="U34" s="14"/>
      <c r="V34" s="13"/>
      <c r="W34" s="14"/>
      <c r="X34" s="13"/>
      <c r="Y34" s="14"/>
      <c r="Z34" s="16"/>
      <c r="AA34" s="13"/>
      <c r="AB34" s="14"/>
      <c r="AC34" s="13"/>
      <c r="AD34" s="15"/>
      <c r="AE34" s="16"/>
      <c r="AF34" s="13"/>
      <c r="AG34" s="14"/>
      <c r="AH34" s="16"/>
      <c r="AI34" s="13"/>
      <c r="AJ34" s="13"/>
      <c r="AK34" s="13"/>
      <c r="AL34" s="13"/>
      <c r="AM34" s="13"/>
      <c r="AN34" s="13"/>
      <c r="AO34" s="16"/>
      <c r="AP34" s="6"/>
      <c r="AQ34" s="6"/>
      <c r="AR34" s="6"/>
      <c r="AS34" s="6"/>
      <c r="AT34" s="6"/>
    </row>
    <row r="35" spans="1:46" ht="16.5" x14ac:dyDescent="0.25">
      <c r="A35" s="2">
        <v>29</v>
      </c>
      <c r="B35" s="7"/>
      <c r="C35" s="2"/>
      <c r="D35" s="2"/>
      <c r="E35" s="2"/>
      <c r="F35" s="2"/>
      <c r="G35" s="2"/>
      <c r="H35" s="2"/>
      <c r="I35" s="4"/>
      <c r="J35" s="13"/>
      <c r="K35" s="14"/>
      <c r="L35" s="13"/>
      <c r="M35" s="14"/>
      <c r="N35" s="16"/>
      <c r="O35" s="13"/>
      <c r="P35" s="13"/>
      <c r="Q35" s="16"/>
      <c r="R35" s="13"/>
      <c r="S35" s="14"/>
      <c r="T35" s="13"/>
      <c r="U35" s="14"/>
      <c r="V35" s="13"/>
      <c r="W35" s="14"/>
      <c r="X35" s="13"/>
      <c r="Y35" s="14"/>
      <c r="Z35" s="16"/>
      <c r="AA35" s="13"/>
      <c r="AB35" s="14"/>
      <c r="AC35" s="13"/>
      <c r="AD35" s="15"/>
      <c r="AE35" s="16"/>
      <c r="AF35" s="13"/>
      <c r="AG35" s="14"/>
      <c r="AH35" s="16"/>
      <c r="AI35" s="13"/>
      <c r="AJ35" s="13"/>
      <c r="AK35" s="13"/>
      <c r="AL35" s="13"/>
      <c r="AM35" s="13"/>
      <c r="AN35" s="13"/>
      <c r="AO35" s="16"/>
      <c r="AP35" s="6"/>
      <c r="AQ35" s="6"/>
      <c r="AR35" s="6"/>
      <c r="AS35" s="6"/>
      <c r="AT35" s="6"/>
    </row>
    <row r="36" spans="1:46" ht="16.5" x14ac:dyDescent="0.25">
      <c r="A36" s="2">
        <v>30</v>
      </c>
      <c r="B36" s="7"/>
      <c r="C36" s="2"/>
      <c r="D36" s="2"/>
      <c r="E36" s="2"/>
      <c r="F36" s="2"/>
      <c r="G36" s="2"/>
      <c r="H36" s="2"/>
      <c r="I36" s="4"/>
      <c r="J36" s="13"/>
      <c r="K36" s="14"/>
      <c r="L36" s="13"/>
      <c r="M36" s="14"/>
      <c r="N36" s="16"/>
      <c r="O36" s="13"/>
      <c r="P36" s="13"/>
      <c r="Q36" s="16"/>
      <c r="R36" s="13"/>
      <c r="S36" s="14"/>
      <c r="T36" s="13"/>
      <c r="U36" s="14"/>
      <c r="V36" s="13"/>
      <c r="W36" s="14"/>
      <c r="X36" s="13"/>
      <c r="Y36" s="14"/>
      <c r="Z36" s="16"/>
      <c r="AA36" s="13"/>
      <c r="AB36" s="14"/>
      <c r="AC36" s="13"/>
      <c r="AD36" s="15"/>
      <c r="AE36" s="16"/>
      <c r="AF36" s="13"/>
      <c r="AG36" s="14"/>
      <c r="AH36" s="16"/>
      <c r="AI36" s="13"/>
      <c r="AJ36" s="13"/>
      <c r="AK36" s="13"/>
      <c r="AL36" s="13"/>
      <c r="AM36" s="13"/>
      <c r="AN36" s="13"/>
      <c r="AO36" s="16"/>
      <c r="AP36" s="6"/>
      <c r="AQ36" s="6"/>
      <c r="AR36" s="6"/>
      <c r="AS36" s="6"/>
      <c r="AT36" s="6"/>
    </row>
  </sheetData>
  <mergeCells count="17">
    <mergeCell ref="AP5:AP6"/>
    <mergeCell ref="AQ5:AQ6"/>
    <mergeCell ref="AR5:AR6"/>
    <mergeCell ref="AS5:AS6"/>
    <mergeCell ref="AT5:AT6"/>
    <mergeCell ref="A5:A6"/>
    <mergeCell ref="B5:B6"/>
    <mergeCell ref="C5:C6"/>
    <mergeCell ref="D5:H5"/>
    <mergeCell ref="I5:I6"/>
    <mergeCell ref="AI5:AL5"/>
    <mergeCell ref="AM5:AO5"/>
    <mergeCell ref="J5:N5"/>
    <mergeCell ref="O5:Q5"/>
    <mergeCell ref="R5:Z5"/>
    <mergeCell ref="AA5:AE5"/>
    <mergeCell ref="AF5:AH5"/>
  </mergeCells>
  <conditionalFormatting sqref="J7:J36 L7:L36 O7:O36 R7:R36 T7:T36 V7:V36 AA7:AA36 AC7:AC36 AF7:AF36 AI7:AI36 AK7:AK36">
    <cfRule type="containsText" dxfId="35" priority="5" operator="containsText" text="AD">
      <formula>NOT(ISERROR(SEARCH(("AD"),(J7))))</formula>
    </cfRule>
  </conditionalFormatting>
  <conditionalFormatting sqref="J7:J36 L7:L36 O7:O36 R7:R36 T7:T36 V7:V36 AA7:AA36 AC7:AC36 AF7:AF36 AI7:AI36 AK7:AK36">
    <cfRule type="containsText" dxfId="34" priority="6" operator="containsText" text="A">
      <formula>NOT(ISERROR(SEARCH(("A"),(J7))))</formula>
    </cfRule>
  </conditionalFormatting>
  <conditionalFormatting sqref="J7:J36 L7:L36 O7:O36 R7:R36 T7:T36 V7:V36 AA7:AA36 AC7:AC36 AF7:AF36 AI7:AI36 AK7:AK36">
    <cfRule type="containsText" dxfId="33" priority="7" operator="containsText" text="B">
      <formula>NOT(ISERROR(SEARCH(("B"),(J7))))</formula>
    </cfRule>
  </conditionalFormatting>
  <conditionalFormatting sqref="J7:J36 L7:L36 O7:O36 R7:R36 T7:T36 V7:V36 AA7:AA36 AC7:AC36 AF7:AF36 AI7:AI36 AK7:AK36">
    <cfRule type="containsText" dxfId="32" priority="8" operator="containsText" text="C">
      <formula>NOT(ISERROR(SEARCH(("C"),(J7))))</formula>
    </cfRule>
  </conditionalFormatting>
  <conditionalFormatting sqref="AM7:AM36">
    <cfRule type="containsText" dxfId="31" priority="9" operator="containsText" text="AD">
      <formula>NOT(ISERROR(SEARCH(("AD"),(AM7))))</formula>
    </cfRule>
  </conditionalFormatting>
  <conditionalFormatting sqref="AM7:AM36">
    <cfRule type="containsText" dxfId="30" priority="10" operator="containsText" text="A">
      <formula>NOT(ISERROR(SEARCH(("A"),(AM7))))</formula>
    </cfRule>
  </conditionalFormatting>
  <conditionalFormatting sqref="AM7:AM36">
    <cfRule type="containsText" dxfId="29" priority="11" operator="containsText" text="B">
      <formula>NOT(ISERROR(SEARCH(("B"),(AM7))))</formula>
    </cfRule>
  </conditionalFormatting>
  <conditionalFormatting sqref="AM7:AM36">
    <cfRule type="containsText" dxfId="28" priority="12" operator="containsText" text="C">
      <formula>NOT(ISERROR(SEARCH(("C"),(AM7))))</formula>
    </cfRule>
  </conditionalFormatting>
  <conditionalFormatting sqref="X7:X36">
    <cfRule type="containsText" dxfId="27" priority="1" operator="containsText" text="AD">
      <formula>NOT(ISERROR(SEARCH(("AD"),(X7))))</formula>
    </cfRule>
  </conditionalFormatting>
  <conditionalFormatting sqref="X7:X36">
    <cfRule type="containsText" dxfId="26" priority="2" operator="containsText" text="A">
      <formula>NOT(ISERROR(SEARCH(("A"),(X7))))</formula>
    </cfRule>
  </conditionalFormatting>
  <conditionalFormatting sqref="X7:X36">
    <cfRule type="containsText" dxfId="25" priority="3" operator="containsText" text="B">
      <formula>NOT(ISERROR(SEARCH(("B"),(X7))))</formula>
    </cfRule>
  </conditionalFormatting>
  <conditionalFormatting sqref="X7:X36">
    <cfRule type="containsText" dxfId="24" priority="4" operator="containsText" text="C">
      <formula>NOT(ISERROR(SEARCH(("C"),(X7))))</formula>
    </cfRule>
  </conditionalFormatting>
  <pageMargins left="0.7" right="0.7" top="0.75" bottom="0.75" header="0.3" footer="0.3"/>
  <pageSetup paperSize="9"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4E691-80A0-4034-A333-DE8FCFE2A7C3}">
  <sheetPr codeName="Hoja7"/>
  <dimension ref="A3:CN132"/>
  <sheetViews>
    <sheetView showGridLines="0" zoomScaleNormal="100" zoomScaleSheetLayoutView="70" workbookViewId="0">
      <selection activeCell="CJ7" sqref="CJ7:CJ8"/>
    </sheetView>
  </sheetViews>
  <sheetFormatPr baseColWidth="10" defaultColWidth="11.5703125" defaultRowHeight="15" x14ac:dyDescent="0.25"/>
  <cols>
    <col min="1" max="84" width="1.28515625" style="20" customWidth="1"/>
    <col min="85" max="85" width="11.5703125" style="18"/>
    <col min="86" max="88" width="11.5703125" style="19"/>
    <col min="89" max="92" width="3.28515625" style="18" bestFit="1" customWidth="1"/>
    <col min="93" max="16384" width="11.5703125" style="19"/>
  </cols>
  <sheetData>
    <row r="3" spans="1:92" ht="14.45" customHeight="1" x14ac:dyDescent="0.25">
      <c r="A3" s="23"/>
      <c r="B3" s="24"/>
      <c r="C3" s="24"/>
      <c r="D3" s="24"/>
      <c r="E3" s="24"/>
      <c r="F3" s="24"/>
      <c r="G3" s="24"/>
      <c r="H3" s="24"/>
      <c r="I3" s="24"/>
      <c r="J3" s="24"/>
      <c r="K3" s="24"/>
      <c r="L3" s="24"/>
      <c r="M3" s="24"/>
      <c r="N3" s="24"/>
      <c r="O3" s="24"/>
      <c r="P3" s="24"/>
      <c r="R3" s="23"/>
      <c r="S3" s="99" t="str">
        <f ca="1">"INFORME DE PROGRESO DE LAS COMPETENCIAS DEL ESTUDIANTE – INICIAL " &amp; YEAR(TODAY())</f>
        <v>INFORME DE PROGRESO DE LAS COMPETENCIAS DEL ESTUDIANTE – INICIAL 2022</v>
      </c>
      <c r="T3" s="99"/>
      <c r="U3" s="99"/>
      <c r="V3" s="99"/>
      <c r="W3" s="99"/>
      <c r="X3" s="99"/>
      <c r="Y3" s="99"/>
      <c r="Z3" s="99"/>
      <c r="AA3" s="99"/>
      <c r="AB3" s="99"/>
      <c r="AC3" s="99"/>
      <c r="AD3" s="99"/>
      <c r="AE3" s="99"/>
      <c r="AF3" s="99"/>
      <c r="AG3" s="99"/>
      <c r="AH3" s="99"/>
      <c r="AI3" s="99"/>
      <c r="AJ3" s="99"/>
      <c r="AK3" s="99"/>
      <c r="AL3" s="99"/>
      <c r="AM3" s="99"/>
      <c r="AN3" s="99"/>
      <c r="AO3" s="99"/>
      <c r="AP3" s="99"/>
      <c r="AQ3" s="99"/>
      <c r="AR3" s="99"/>
      <c r="AS3" s="99"/>
      <c r="AT3" s="99"/>
      <c r="AU3" s="99"/>
      <c r="AV3" s="99"/>
      <c r="AW3" s="99"/>
      <c r="AX3" s="99"/>
      <c r="AY3" s="99"/>
      <c r="AZ3" s="99"/>
      <c r="BA3" s="99"/>
      <c r="BB3" s="99"/>
      <c r="BC3" s="99"/>
      <c r="BD3" s="99"/>
      <c r="BE3" s="99"/>
      <c r="BF3" s="99"/>
      <c r="BG3" s="99"/>
      <c r="BH3" s="99"/>
      <c r="BI3" s="99"/>
      <c r="BJ3" s="99"/>
      <c r="BK3" s="99"/>
      <c r="BL3" s="99"/>
      <c r="BM3" s="99"/>
      <c r="BN3" s="99"/>
      <c r="BO3" s="99"/>
      <c r="BP3" s="99"/>
      <c r="BQ3" s="99"/>
      <c r="BR3" s="99"/>
      <c r="BS3" s="99"/>
      <c r="BT3" s="23"/>
      <c r="BU3" s="23"/>
      <c r="BV3" s="24"/>
      <c r="BW3" s="24"/>
      <c r="BX3" s="24"/>
      <c r="BY3" s="24"/>
      <c r="BZ3" s="24"/>
      <c r="CA3" s="24"/>
      <c r="CB3" s="24"/>
      <c r="CC3" s="24"/>
      <c r="CD3" s="24"/>
      <c r="CE3" s="24"/>
      <c r="CF3" s="24"/>
    </row>
    <row r="4" spans="1:92" ht="14.45" customHeight="1" x14ac:dyDescent="0.25">
      <c r="A4" s="24"/>
      <c r="B4" s="24"/>
      <c r="C4" s="24"/>
      <c r="D4" s="24"/>
      <c r="E4" s="24"/>
      <c r="F4" s="24"/>
      <c r="G4" s="24"/>
      <c r="H4" s="24"/>
      <c r="I4" s="24"/>
      <c r="J4" s="24"/>
      <c r="K4" s="24"/>
      <c r="L4" s="24"/>
      <c r="M4" s="24"/>
      <c r="N4" s="24"/>
      <c r="O4" s="24"/>
      <c r="P4" s="24"/>
      <c r="Q4" s="23"/>
      <c r="R4" s="23"/>
      <c r="S4" s="99"/>
      <c r="T4" s="99"/>
      <c r="U4" s="99"/>
      <c r="V4" s="99"/>
      <c r="W4" s="99"/>
      <c r="X4" s="99"/>
      <c r="Y4" s="99"/>
      <c r="Z4" s="99"/>
      <c r="AA4" s="99"/>
      <c r="AB4" s="99"/>
      <c r="AC4" s="99"/>
      <c r="AD4" s="99"/>
      <c r="AE4" s="99"/>
      <c r="AF4" s="99"/>
      <c r="AG4" s="99"/>
      <c r="AH4" s="99"/>
      <c r="AI4" s="99"/>
      <c r="AJ4" s="99"/>
      <c r="AK4" s="99"/>
      <c r="AL4" s="99"/>
      <c r="AM4" s="99"/>
      <c r="AN4" s="99"/>
      <c r="AO4" s="99"/>
      <c r="AP4" s="99"/>
      <c r="AQ4" s="99"/>
      <c r="AR4" s="99"/>
      <c r="AS4" s="99"/>
      <c r="AT4" s="99"/>
      <c r="AU4" s="99"/>
      <c r="AV4" s="99"/>
      <c r="AW4" s="99"/>
      <c r="AX4" s="99"/>
      <c r="AY4" s="99"/>
      <c r="AZ4" s="99"/>
      <c r="BA4" s="99"/>
      <c r="BB4" s="99"/>
      <c r="BC4" s="99"/>
      <c r="BD4" s="99"/>
      <c r="BE4" s="99"/>
      <c r="BF4" s="99"/>
      <c r="BG4" s="99"/>
      <c r="BH4" s="99"/>
      <c r="BI4" s="99"/>
      <c r="BJ4" s="99"/>
      <c r="BK4" s="99"/>
      <c r="BL4" s="99"/>
      <c r="BM4" s="99"/>
      <c r="BN4" s="99"/>
      <c r="BO4" s="99"/>
      <c r="BP4" s="99"/>
      <c r="BQ4" s="99"/>
      <c r="BR4" s="99"/>
      <c r="BS4" s="99"/>
      <c r="BT4" s="23"/>
      <c r="BU4" s="23"/>
      <c r="BV4" s="24"/>
      <c r="BW4" s="24"/>
      <c r="BX4" s="24"/>
      <c r="BY4" s="24"/>
      <c r="BZ4" s="24"/>
      <c r="CA4" s="24"/>
      <c r="CB4" s="24"/>
      <c r="CC4" s="24"/>
      <c r="CD4" s="24"/>
      <c r="CE4" s="24"/>
      <c r="CF4" s="24"/>
    </row>
    <row r="5" spans="1:92" ht="22.15" customHeight="1" x14ac:dyDescent="0.25">
      <c r="A5" s="24"/>
      <c r="B5" s="24"/>
      <c r="C5" s="24"/>
      <c r="D5" s="24"/>
      <c r="E5" s="24"/>
      <c r="F5" s="24"/>
      <c r="G5" s="24"/>
      <c r="H5" s="24"/>
      <c r="I5" s="24"/>
      <c r="J5" s="24"/>
      <c r="K5" s="24"/>
      <c r="L5" s="24"/>
      <c r="M5" s="24"/>
      <c r="N5" s="24"/>
      <c r="O5" s="24"/>
      <c r="P5" s="24"/>
      <c r="Q5" s="23"/>
      <c r="R5" s="23"/>
      <c r="S5" s="99"/>
      <c r="T5" s="99"/>
      <c r="U5" s="99"/>
      <c r="V5" s="99"/>
      <c r="W5" s="99"/>
      <c r="X5" s="99"/>
      <c r="Y5" s="99"/>
      <c r="Z5" s="99"/>
      <c r="AA5" s="99"/>
      <c r="AB5" s="99"/>
      <c r="AC5" s="99"/>
      <c r="AD5" s="99"/>
      <c r="AE5" s="99"/>
      <c r="AF5" s="99"/>
      <c r="AG5" s="99"/>
      <c r="AH5" s="99"/>
      <c r="AI5" s="99"/>
      <c r="AJ5" s="99"/>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c r="BS5" s="99"/>
      <c r="BT5" s="23"/>
      <c r="BU5" s="23"/>
      <c r="BV5" s="24"/>
      <c r="BW5" s="24"/>
      <c r="BX5" s="24"/>
      <c r="BY5" s="24"/>
      <c r="BZ5" s="24"/>
      <c r="CA5" s="24"/>
      <c r="CB5" s="24"/>
      <c r="CC5" s="24"/>
      <c r="CD5" s="24"/>
      <c r="CE5" s="24"/>
      <c r="CF5" s="24"/>
      <c r="CH5" s="69" t="s">
        <v>14</v>
      </c>
      <c r="CI5" s="70"/>
      <c r="CJ5" s="67">
        <v>1</v>
      </c>
    </row>
    <row r="6" spans="1:92" ht="14.45" customHeight="1" x14ac:dyDescent="0.25">
      <c r="CH6" s="71"/>
      <c r="CI6" s="72"/>
      <c r="CJ6" s="68"/>
    </row>
    <row r="7" spans="1:92" ht="16.149999999999999" customHeight="1" x14ac:dyDescent="0.25">
      <c r="F7" s="19"/>
      <c r="G7" s="19"/>
      <c r="I7" s="19"/>
      <c r="J7" s="19"/>
      <c r="K7" s="98" t="s">
        <v>0</v>
      </c>
      <c r="L7" s="98"/>
      <c r="M7" s="98"/>
      <c r="N7" s="98"/>
      <c r="O7" s="98"/>
      <c r="P7" s="98"/>
      <c r="Q7" s="98"/>
      <c r="R7" s="98"/>
      <c r="S7" s="98"/>
      <c r="T7" s="98"/>
      <c r="U7" s="98"/>
      <c r="V7" s="98"/>
      <c r="W7" s="98"/>
      <c r="X7" s="98"/>
      <c r="Y7" s="98"/>
      <c r="Z7" s="98"/>
      <c r="AA7" s="42" t="s">
        <v>1</v>
      </c>
      <c r="AB7" s="42"/>
      <c r="AC7" s="42"/>
      <c r="AD7" s="42"/>
      <c r="AE7" s="42"/>
      <c r="AF7" s="42"/>
      <c r="AG7" s="42"/>
      <c r="AH7" s="42"/>
      <c r="AI7" s="42"/>
      <c r="AJ7" s="42"/>
      <c r="AK7" s="42"/>
      <c r="AL7" s="42"/>
      <c r="AM7" s="42"/>
      <c r="AN7" s="42"/>
      <c r="AO7" s="42"/>
      <c r="AP7" s="42"/>
      <c r="AQ7" s="98" t="s">
        <v>2</v>
      </c>
      <c r="AR7" s="98"/>
      <c r="AS7" s="98"/>
      <c r="AT7" s="98"/>
      <c r="AU7" s="98"/>
      <c r="AV7" s="98"/>
      <c r="AW7" s="98"/>
      <c r="AX7" s="98"/>
      <c r="AY7" s="98"/>
      <c r="AZ7" s="98"/>
      <c r="BA7" s="98"/>
      <c r="BB7" s="98"/>
      <c r="BC7" s="98"/>
      <c r="BD7" s="98"/>
      <c r="BE7" s="98"/>
      <c r="BF7" s="98"/>
      <c r="BG7" s="42" t="s">
        <v>3</v>
      </c>
      <c r="BH7" s="42"/>
      <c r="BI7" s="42"/>
      <c r="BJ7" s="42"/>
      <c r="BK7" s="42"/>
      <c r="BL7" s="42"/>
      <c r="BM7" s="42"/>
      <c r="BN7" s="42"/>
      <c r="BO7" s="42"/>
      <c r="BP7" s="42"/>
      <c r="BQ7" s="42"/>
      <c r="BR7" s="42"/>
      <c r="BS7" s="42"/>
      <c r="BT7" s="42"/>
      <c r="BU7" s="42"/>
      <c r="BV7" s="42"/>
      <c r="CH7" s="63" t="s">
        <v>87</v>
      </c>
      <c r="CI7" s="64"/>
      <c r="CJ7" s="67">
        <v>1</v>
      </c>
    </row>
    <row r="8" spans="1:92" ht="16.149999999999999" customHeight="1" x14ac:dyDescent="0.25">
      <c r="F8" s="19"/>
      <c r="G8" s="19"/>
      <c r="I8" s="19"/>
      <c r="J8" s="19"/>
      <c r="K8" s="98" t="s">
        <v>4</v>
      </c>
      <c r="L8" s="98"/>
      <c r="M8" s="98"/>
      <c r="N8" s="98"/>
      <c r="O8" s="98"/>
      <c r="P8" s="98"/>
      <c r="Q8" s="98"/>
      <c r="R8" s="98"/>
      <c r="S8" s="98"/>
      <c r="T8" s="98"/>
      <c r="U8" s="98"/>
      <c r="V8" s="98"/>
      <c r="W8" s="98"/>
      <c r="X8" s="98"/>
      <c r="Y8" s="98"/>
      <c r="Z8" s="98"/>
      <c r="AA8" s="42" t="s">
        <v>94</v>
      </c>
      <c r="AB8" s="42"/>
      <c r="AC8" s="42"/>
      <c r="AD8" s="42"/>
      <c r="AE8" s="42"/>
      <c r="AF8" s="42"/>
      <c r="AG8" s="42"/>
      <c r="AH8" s="42"/>
      <c r="AI8" s="42"/>
      <c r="AJ8" s="42"/>
      <c r="AK8" s="42"/>
      <c r="AL8" s="42"/>
      <c r="AM8" s="42"/>
      <c r="AN8" s="42"/>
      <c r="AO8" s="42"/>
      <c r="AP8" s="42"/>
      <c r="AQ8" s="98" t="s">
        <v>5</v>
      </c>
      <c r="AR8" s="98"/>
      <c r="AS8" s="98"/>
      <c r="AT8" s="98"/>
      <c r="AU8" s="98"/>
      <c r="AV8" s="98"/>
      <c r="AW8" s="98"/>
      <c r="AX8" s="98"/>
      <c r="AY8" s="98"/>
      <c r="AZ8" s="98"/>
      <c r="BA8" s="98"/>
      <c r="BB8" s="98"/>
      <c r="BC8" s="98"/>
      <c r="BD8" s="98"/>
      <c r="BE8" s="98"/>
      <c r="BF8" s="98"/>
      <c r="BG8" s="42" t="s">
        <v>93</v>
      </c>
      <c r="BH8" s="42"/>
      <c r="BI8" s="42"/>
      <c r="BJ8" s="42"/>
      <c r="BK8" s="42"/>
      <c r="BL8" s="42"/>
      <c r="BM8" s="42"/>
      <c r="BN8" s="42"/>
      <c r="BO8" s="42"/>
      <c r="BP8" s="42"/>
      <c r="BQ8" s="42"/>
      <c r="BR8" s="42"/>
      <c r="BS8" s="42"/>
      <c r="BT8" s="42"/>
      <c r="BU8" s="42"/>
      <c r="BV8" s="42"/>
      <c r="CH8" s="65"/>
      <c r="CI8" s="66"/>
      <c r="CJ8" s="68"/>
    </row>
    <row r="9" spans="1:92" ht="16.149999999999999" customHeight="1" x14ac:dyDescent="0.25">
      <c r="F9" s="19"/>
      <c r="G9" s="19"/>
      <c r="I9" s="19"/>
      <c r="J9" s="19"/>
      <c r="K9" s="98" t="s">
        <v>12</v>
      </c>
      <c r="L9" s="98"/>
      <c r="M9" s="98"/>
      <c r="N9" s="98"/>
      <c r="O9" s="98"/>
      <c r="P9" s="98"/>
      <c r="Q9" s="98"/>
      <c r="R9" s="98"/>
      <c r="S9" s="98"/>
      <c r="T9" s="98"/>
      <c r="U9" s="98"/>
      <c r="V9" s="98"/>
      <c r="W9" s="98"/>
      <c r="X9" s="98"/>
      <c r="Y9" s="98"/>
      <c r="Z9" s="98"/>
      <c r="AA9" s="42" t="s">
        <v>6</v>
      </c>
      <c r="AB9" s="42"/>
      <c r="AC9" s="42"/>
      <c r="AD9" s="42"/>
      <c r="AE9" s="42"/>
      <c r="AF9" s="42"/>
      <c r="AG9" s="42"/>
      <c r="AH9" s="42"/>
      <c r="AI9" s="42"/>
      <c r="AJ9" s="42"/>
      <c r="AK9" s="42"/>
      <c r="AL9" s="42"/>
      <c r="AM9" s="42"/>
      <c r="AN9" s="42"/>
      <c r="AO9" s="42"/>
      <c r="AP9" s="42"/>
      <c r="AQ9" s="98" t="s">
        <v>95</v>
      </c>
      <c r="AR9" s="98"/>
      <c r="AS9" s="98"/>
      <c r="AT9" s="98"/>
      <c r="AU9" s="98"/>
      <c r="AV9" s="98"/>
      <c r="AW9" s="98"/>
      <c r="AX9" s="98"/>
      <c r="AY9" s="98"/>
      <c r="AZ9" s="98"/>
      <c r="BA9" s="98"/>
      <c r="BB9" s="98"/>
      <c r="BC9" s="98"/>
      <c r="BD9" s="98"/>
      <c r="BE9" s="98"/>
      <c r="BF9" s="98"/>
      <c r="BG9" s="42" t="str">
        <f>IF('1° PERIODO'!D3="","",'1° PERIODO'!D3)</f>
        <v>4 AÑOS</v>
      </c>
      <c r="BH9" s="42"/>
      <c r="BI9" s="42"/>
      <c r="BJ9" s="42"/>
      <c r="BK9" s="42"/>
      <c r="BL9" s="42"/>
      <c r="BM9" s="42"/>
      <c r="BN9" s="42"/>
      <c r="BO9" s="42"/>
      <c r="BP9" s="42"/>
      <c r="BQ9" s="42"/>
      <c r="BR9" s="42"/>
      <c r="BS9" s="42"/>
      <c r="BT9" s="42"/>
      <c r="BU9" s="42"/>
      <c r="BV9" s="42"/>
    </row>
    <row r="10" spans="1:92" ht="16.149999999999999" customHeight="1" x14ac:dyDescent="0.25">
      <c r="F10" s="19"/>
      <c r="G10" s="19"/>
      <c r="I10" s="19"/>
      <c r="J10" s="19"/>
      <c r="K10" s="98" t="s">
        <v>7</v>
      </c>
      <c r="L10" s="98"/>
      <c r="M10" s="98"/>
      <c r="N10" s="98"/>
      <c r="O10" s="98"/>
      <c r="P10" s="98"/>
      <c r="Q10" s="98"/>
      <c r="R10" s="98"/>
      <c r="S10" s="98"/>
      <c r="T10" s="98"/>
      <c r="U10" s="98"/>
      <c r="V10" s="98"/>
      <c r="W10" s="98"/>
      <c r="X10" s="98"/>
      <c r="Y10" s="98"/>
      <c r="Z10" s="98"/>
      <c r="AA10" s="74">
        <f>IFERROR(IF(CJ5=1,IF(VLOOKUP(CJ7,'1° PERIODO'!A7:AT36,3)="","",VLOOKUP(CJ7,'1° PERIODO'!A7:AT36,3)),IF(CJ5=2,IF(VLOOKUP(CJ7,'2° PERIODO'!A7:BV36,3)="","",VLOOKUP(CJ7,'2° PERIODO'!A7:BV36,3)),IF(CJ5=3,IF(VLOOKUP(CJ7,'3° PERIODO'!A7:BV36,3)="","",VLOOKUP(CJ7,'3° PERIODO'!A7:BV36,3)),IF(CJ5=4,IF(VLOOKUP(CJ7,'4° PERIODO'!A7:BV36,3)="","",VLOOKUP(CJ7,'4° PERIODO'!A7:BV36,3)),"")))),"")</f>
        <v>90373031</v>
      </c>
      <c r="AB10" s="75"/>
      <c r="AC10" s="75"/>
      <c r="AD10" s="75"/>
      <c r="AE10" s="75"/>
      <c r="AF10" s="75"/>
      <c r="AG10" s="75"/>
      <c r="AH10" s="75"/>
      <c r="AI10" s="75"/>
      <c r="AJ10" s="75"/>
      <c r="AK10" s="75"/>
      <c r="AL10" s="75"/>
      <c r="AM10" s="75"/>
      <c r="AN10" s="75"/>
      <c r="AO10" s="75"/>
      <c r="AP10" s="76"/>
      <c r="AQ10" s="98" t="s">
        <v>8</v>
      </c>
      <c r="AR10" s="98"/>
      <c r="AS10" s="98"/>
      <c r="AT10" s="98"/>
      <c r="AU10" s="98"/>
      <c r="AV10" s="98"/>
      <c r="AW10" s="98"/>
      <c r="AX10" s="98"/>
      <c r="AY10" s="98"/>
      <c r="AZ10" s="98"/>
      <c r="BA10" s="98"/>
      <c r="BB10" s="98"/>
      <c r="BC10" s="98"/>
      <c r="BD10" s="98"/>
      <c r="BE10" s="98"/>
      <c r="BF10" s="98"/>
      <c r="BG10" s="42" t="s">
        <v>9</v>
      </c>
      <c r="BH10" s="42"/>
      <c r="BI10" s="42"/>
      <c r="BJ10" s="42"/>
      <c r="BK10" s="42"/>
      <c r="BL10" s="42"/>
      <c r="BM10" s="42"/>
      <c r="BN10" s="42"/>
      <c r="BO10" s="42"/>
      <c r="BP10" s="42"/>
      <c r="BQ10" s="42"/>
      <c r="BR10" s="42"/>
      <c r="BS10" s="42"/>
      <c r="BT10" s="42"/>
      <c r="BU10" s="42"/>
      <c r="BV10" s="42"/>
    </row>
    <row r="11" spans="1:92" ht="25.15" customHeight="1" x14ac:dyDescent="0.25">
      <c r="F11" s="19"/>
      <c r="G11" s="19"/>
      <c r="I11" s="19"/>
      <c r="J11" s="19"/>
      <c r="K11" s="98" t="s">
        <v>10</v>
      </c>
      <c r="L11" s="98"/>
      <c r="M11" s="98"/>
      <c r="N11" s="98"/>
      <c r="O11" s="98"/>
      <c r="P11" s="98"/>
      <c r="Q11" s="98"/>
      <c r="R11" s="98"/>
      <c r="S11" s="98"/>
      <c r="T11" s="98"/>
      <c r="U11" s="98"/>
      <c r="V11" s="98"/>
      <c r="W11" s="98"/>
      <c r="X11" s="98"/>
      <c r="Y11" s="98"/>
      <c r="Z11" s="98"/>
      <c r="AA11" s="42" t="str">
        <f>IFERROR(IF(CJ5=1,IF(VLOOKUP(CJ7,'1° PERIODO'!A7:AT36,2)="","",VLOOKUP(CJ7,'1° PERIODO'!A7:AT36,2)),IF(CJ5=2,IF(VLOOKUP(CJ7,'2° PERIODO'!A7:BV36,2)="","",VLOOKUP(CJ7,'2° PERIODO'!A7:BV36,2)),IF(CJ5=3,IF(VLOOKUP(CJ7,'3° PERIODO'!A7:BV36,2)="","",VLOOKUP(CJ7,'3° PERIODO'!A7:BV36,2)),IF(CJ5=4,IF(VLOOKUP(CJ7,'4° PERIODO'!A7:BV36,2)="","",VLOOKUP(CJ7,'4° PERIODO'!A7:BV36,2)),"")))),"")</f>
        <v>ALAGON HUAMAN, LEYDI SAYURI</v>
      </c>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row>
    <row r="12" spans="1:92" ht="25.15" customHeight="1" x14ac:dyDescent="0.25">
      <c r="F12" s="19"/>
      <c r="G12" s="19"/>
      <c r="I12" s="19"/>
      <c r="J12" s="19"/>
      <c r="K12" s="98" t="s">
        <v>11</v>
      </c>
      <c r="L12" s="98"/>
      <c r="M12" s="98"/>
      <c r="N12" s="98"/>
      <c r="O12" s="98"/>
      <c r="P12" s="98"/>
      <c r="Q12" s="98"/>
      <c r="R12" s="98"/>
      <c r="S12" s="98"/>
      <c r="T12" s="98"/>
      <c r="U12" s="98"/>
      <c r="V12" s="98"/>
      <c r="W12" s="98"/>
      <c r="X12" s="98"/>
      <c r="Y12" s="98"/>
      <c r="Z12" s="98"/>
      <c r="AA12" s="42" t="str">
        <f>IF('1° PERIODO'!D2="","",'1° PERIODO'!D2)</f>
        <v>YLLACONZA MONDRAGÓN, KEYLA</v>
      </c>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row>
    <row r="14" spans="1:92" x14ac:dyDescent="0.25">
      <c r="A14" s="41" t="s">
        <v>25</v>
      </c>
      <c r="B14" s="41"/>
      <c r="C14" s="41"/>
      <c r="D14" s="41"/>
      <c r="E14" s="41"/>
      <c r="F14" s="41"/>
      <c r="G14" s="41"/>
      <c r="H14" s="41"/>
      <c r="I14" s="41"/>
      <c r="J14" s="41"/>
      <c r="K14" s="41" t="s">
        <v>13</v>
      </c>
      <c r="L14" s="41"/>
      <c r="M14" s="41"/>
      <c r="N14" s="41"/>
      <c r="O14" s="41"/>
      <c r="P14" s="41"/>
      <c r="Q14" s="41"/>
      <c r="R14" s="41"/>
      <c r="S14" s="41"/>
      <c r="T14" s="41"/>
      <c r="U14" s="41"/>
      <c r="V14" s="41"/>
      <c r="W14" s="41"/>
      <c r="X14" s="41"/>
      <c r="Y14" s="41"/>
      <c r="Z14" s="41"/>
      <c r="AA14" s="41"/>
      <c r="AB14" s="41"/>
      <c r="AC14" s="41" t="s">
        <v>14</v>
      </c>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4" t="s">
        <v>15</v>
      </c>
      <c r="CD14" s="44"/>
      <c r="CE14" s="44"/>
      <c r="CF14" s="44"/>
    </row>
    <row r="15" spans="1:92" ht="25.15" customHeight="1"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c r="AA15" s="41"/>
      <c r="AB15" s="41"/>
      <c r="AC15" s="41" t="s">
        <v>16</v>
      </c>
      <c r="AD15" s="41"/>
      <c r="AE15" s="41"/>
      <c r="AF15" s="41" t="s">
        <v>19</v>
      </c>
      <c r="AG15" s="41"/>
      <c r="AH15" s="41"/>
      <c r="AI15" s="41"/>
      <c r="AJ15" s="41"/>
      <c r="AK15" s="41"/>
      <c r="AL15" s="41"/>
      <c r="AM15" s="41"/>
      <c r="AN15" s="41"/>
      <c r="AO15" s="41"/>
      <c r="AP15" s="41" t="s">
        <v>17</v>
      </c>
      <c r="AQ15" s="41"/>
      <c r="AR15" s="41"/>
      <c r="AS15" s="41" t="s">
        <v>19</v>
      </c>
      <c r="AT15" s="41"/>
      <c r="AU15" s="41"/>
      <c r="AV15" s="41"/>
      <c r="AW15" s="41"/>
      <c r="AX15" s="41"/>
      <c r="AY15" s="41"/>
      <c r="AZ15" s="41"/>
      <c r="BA15" s="41"/>
      <c r="BB15" s="41"/>
      <c r="BC15" s="41" t="s">
        <v>18</v>
      </c>
      <c r="BD15" s="41"/>
      <c r="BE15" s="41"/>
      <c r="BF15" s="41" t="s">
        <v>19</v>
      </c>
      <c r="BG15" s="41"/>
      <c r="BH15" s="41"/>
      <c r="BI15" s="41"/>
      <c r="BJ15" s="41"/>
      <c r="BK15" s="41"/>
      <c r="BL15" s="41"/>
      <c r="BM15" s="41"/>
      <c r="BN15" s="41"/>
      <c r="BO15" s="41"/>
      <c r="BP15" s="41" t="s">
        <v>20</v>
      </c>
      <c r="BQ15" s="41"/>
      <c r="BR15" s="41"/>
      <c r="BS15" s="41" t="s">
        <v>19</v>
      </c>
      <c r="BT15" s="41"/>
      <c r="BU15" s="41"/>
      <c r="BV15" s="41"/>
      <c r="BW15" s="41"/>
      <c r="BX15" s="41"/>
      <c r="BY15" s="41"/>
      <c r="BZ15" s="41"/>
      <c r="CA15" s="41"/>
      <c r="CB15" s="41"/>
      <c r="CC15" s="44"/>
      <c r="CD15" s="44"/>
      <c r="CE15" s="44"/>
      <c r="CF15" s="44"/>
    </row>
    <row r="16" spans="1:92" ht="25.15" customHeight="1" x14ac:dyDescent="0.25">
      <c r="A16" s="80" t="s">
        <v>21</v>
      </c>
      <c r="B16" s="81"/>
      <c r="C16" s="81"/>
      <c r="D16" s="81"/>
      <c r="E16" s="81"/>
      <c r="F16" s="81"/>
      <c r="G16" s="81"/>
      <c r="H16" s="81"/>
      <c r="I16" s="81"/>
      <c r="J16" s="82"/>
      <c r="K16" s="78" t="s">
        <v>57</v>
      </c>
      <c r="L16" s="78"/>
      <c r="M16" s="78"/>
      <c r="N16" s="78"/>
      <c r="O16" s="78"/>
      <c r="P16" s="78"/>
      <c r="Q16" s="78"/>
      <c r="R16" s="78"/>
      <c r="S16" s="78"/>
      <c r="T16" s="78"/>
      <c r="U16" s="78"/>
      <c r="V16" s="78"/>
      <c r="W16" s="78"/>
      <c r="X16" s="78"/>
      <c r="Y16" s="78"/>
      <c r="Z16" s="78"/>
      <c r="AA16" s="78"/>
      <c r="AB16" s="78"/>
      <c r="AC16" s="42" t="str">
        <f>IFERROR(IF(VLOOKUP($CJ$7,'1° PERIODO'!$A$7:$AT$36,CG16)="","-",VLOOKUP($CJ$7,'1° PERIODO'!$A$7:$AT$36,CG16)),"")</f>
        <v>A</v>
      </c>
      <c r="AD16" s="42"/>
      <c r="AE16" s="42"/>
      <c r="AF16" s="42" t="str">
        <f>IFERROR(IF(VLOOKUP($CJ$7,'1° PERIODO'!$A$7:$AT$36,CG16+1)="","",VLOOKUP($CJ$7,'1° PERIODO'!$A$7:$AT$36,CG16+1)),"")</f>
        <v/>
      </c>
      <c r="AG16" s="42"/>
      <c r="AH16" s="42"/>
      <c r="AI16" s="42"/>
      <c r="AJ16" s="42"/>
      <c r="AK16" s="42"/>
      <c r="AL16" s="42"/>
      <c r="AM16" s="42"/>
      <c r="AN16" s="42"/>
      <c r="AO16" s="42"/>
      <c r="AP16" s="42" t="str">
        <f>IFERROR(IF(VLOOKUP($CJ$7,'2° PERIODO'!$A$7:$BV$36,CG16)="","-",VLOOKUP($CJ$7,'2° PERIODO'!$A$7:$BV$36,CG16)),"")</f>
        <v>A</v>
      </c>
      <c r="AQ16" s="42"/>
      <c r="AR16" s="42"/>
      <c r="AS16" s="42" t="str">
        <f>IFERROR(IF(VLOOKUP($CJ$7,'2° PERIODO'!$A$7:$BV$36,CG16+1)="","",VLOOKUP($CJ$7,'2° PERIODO'!$A$7:$BV$36,CG16+1)),"")</f>
        <v/>
      </c>
      <c r="AT16" s="42"/>
      <c r="AU16" s="42"/>
      <c r="AV16" s="42"/>
      <c r="AW16" s="42"/>
      <c r="AX16" s="42"/>
      <c r="AY16" s="42"/>
      <c r="AZ16" s="42"/>
      <c r="BA16" s="42"/>
      <c r="BB16" s="42"/>
      <c r="BC16" s="42" t="str">
        <f>IFERROR(IF(VLOOKUP($CJ$7,'3° PERIODO'!$A$7:$BV$36,CG16)="","-",VLOOKUP($CJ$7,'3° PERIODO'!$A$7:$BV$36,CG16)),"")</f>
        <v>A</v>
      </c>
      <c r="BD16" s="42"/>
      <c r="BE16" s="42"/>
      <c r="BF16" s="42" t="str">
        <f>IFERROR(IF(VLOOKUP($CJ$7,'3° PERIODO'!$A$7:$BV$36,CG16+1)="","",VLOOKUP($CJ$7,'3° PERIODO'!$A$7:$BV$36,CG16+1)),"")</f>
        <v/>
      </c>
      <c r="BG16" s="42"/>
      <c r="BH16" s="42"/>
      <c r="BI16" s="42"/>
      <c r="BJ16" s="42"/>
      <c r="BK16" s="42"/>
      <c r="BL16" s="42"/>
      <c r="BM16" s="42"/>
      <c r="BN16" s="42"/>
      <c r="BO16" s="42"/>
      <c r="BP16" s="42" t="str">
        <f>IFERROR(IF(VLOOKUP($CJ$7,'4° PERIODO'!$A$7:$BV$36,CG16)="","-",VLOOKUP($CJ$7,'4° PERIODO'!$A$7:$BV$36,CG16)),"")</f>
        <v>A</v>
      </c>
      <c r="BQ16" s="42"/>
      <c r="BR16" s="42"/>
      <c r="BS16" s="42" t="str">
        <f>IFERROR(IF(VLOOKUP($CJ$7,'2° PERIODO'!$A$7:$BV$36,CG16+1)="","",VLOOKUP($CJ$7,'2° PERIODO'!$A$7:$BV$36,CG16+1)),"")</f>
        <v/>
      </c>
      <c r="BT16" s="42"/>
      <c r="BU16" s="42"/>
      <c r="BV16" s="42"/>
      <c r="BW16" s="42"/>
      <c r="BX16" s="42"/>
      <c r="BY16" s="42"/>
      <c r="BZ16" s="42"/>
      <c r="CA16" s="42"/>
      <c r="CB16" s="42"/>
      <c r="CC16" s="40" t="str" cm="1">
        <f t="array" ref="CC16">IFERROR(_xlfn.XLOOKUP(ROUND(AVERAGE(_xlfn.XLOOKUP(CK16:CN16,{"AD";"A";"B";"C"},{1;2;3;4},"")),0),{1;2;3;4},{"AD";"A";"B";"C"}),"-")</f>
        <v>A</v>
      </c>
      <c r="CD16" s="40"/>
      <c r="CE16" s="40"/>
      <c r="CF16" s="40"/>
      <c r="CG16" s="27">
        <v>10</v>
      </c>
      <c r="CK16" s="22" t="str">
        <f>AC16</f>
        <v>A</v>
      </c>
      <c r="CL16" s="22" t="str">
        <f>AP16</f>
        <v>A</v>
      </c>
      <c r="CM16" s="22" t="str">
        <f>BC16</f>
        <v>A</v>
      </c>
      <c r="CN16" s="22" t="str">
        <f>BP16</f>
        <v>A</v>
      </c>
    </row>
    <row r="17" spans="1:92" ht="25.15" customHeight="1" x14ac:dyDescent="0.25">
      <c r="A17" s="95"/>
      <c r="B17" s="96"/>
      <c r="C17" s="96"/>
      <c r="D17" s="96"/>
      <c r="E17" s="96"/>
      <c r="F17" s="96"/>
      <c r="G17" s="96"/>
      <c r="H17" s="96"/>
      <c r="I17" s="96"/>
      <c r="J17" s="97"/>
      <c r="K17" s="78" t="s">
        <v>22</v>
      </c>
      <c r="L17" s="78"/>
      <c r="M17" s="78"/>
      <c r="N17" s="78"/>
      <c r="O17" s="78"/>
      <c r="P17" s="78"/>
      <c r="Q17" s="78"/>
      <c r="R17" s="78"/>
      <c r="S17" s="78"/>
      <c r="T17" s="78"/>
      <c r="U17" s="78"/>
      <c r="V17" s="78"/>
      <c r="W17" s="78"/>
      <c r="X17" s="78"/>
      <c r="Y17" s="78"/>
      <c r="Z17" s="78"/>
      <c r="AA17" s="78"/>
      <c r="AB17" s="78"/>
      <c r="AC17" s="42" t="str">
        <f>IFERROR(IF(VLOOKUP($CJ$7,'1° PERIODO'!$A$7:$AT$36,CG17)="","-",VLOOKUP($CJ$7,'1° PERIODO'!$A$7:$AT$36,CG17)),"")</f>
        <v>B</v>
      </c>
      <c r="AD17" s="42"/>
      <c r="AE17" s="42"/>
      <c r="AF17" s="42" t="str">
        <f>IFERROR(IF(VLOOKUP($CJ$7,'1° PERIODO'!$A$7:$AT$36,CG17+1)="","",VLOOKUP($CJ$7,'1° PERIODO'!$A$7:$AT$36,CG17+1)),"")</f>
        <v/>
      </c>
      <c r="AG17" s="42"/>
      <c r="AH17" s="42"/>
      <c r="AI17" s="42"/>
      <c r="AJ17" s="42"/>
      <c r="AK17" s="42"/>
      <c r="AL17" s="42"/>
      <c r="AM17" s="42"/>
      <c r="AN17" s="42"/>
      <c r="AO17" s="42"/>
      <c r="AP17" s="42" t="str">
        <f>IFERROR(IF(VLOOKUP($CJ$7,'2° PERIODO'!$A$7:$BV$36,CG17)="","-",VLOOKUP($CJ$7,'2° PERIODO'!$A$7:$BV$36,CG17)),"")</f>
        <v>A</v>
      </c>
      <c r="AQ17" s="42"/>
      <c r="AR17" s="42"/>
      <c r="AS17" s="42" t="str">
        <f>IFERROR(IF(VLOOKUP($CJ$7,'2° PERIODO'!$A$7:$BV$36,CG17+1)="","",VLOOKUP($CJ$7,'2° PERIODO'!$A$7:$BV$36,CG17+1)),"")</f>
        <v/>
      </c>
      <c r="AT17" s="42"/>
      <c r="AU17" s="42"/>
      <c r="AV17" s="42"/>
      <c r="AW17" s="42"/>
      <c r="AX17" s="42"/>
      <c r="AY17" s="42"/>
      <c r="AZ17" s="42"/>
      <c r="BA17" s="42"/>
      <c r="BB17" s="42"/>
      <c r="BC17" s="42" t="str">
        <f>IFERROR(IF(VLOOKUP($CJ$7,'3° PERIODO'!$A$7:$BV$36,CG17)="","-",VLOOKUP($CJ$7,'3° PERIODO'!$A$7:$BV$36,CG17)),"")</f>
        <v>A</v>
      </c>
      <c r="BD17" s="42"/>
      <c r="BE17" s="42"/>
      <c r="BF17" s="42" t="str">
        <f>IFERROR(IF(VLOOKUP($CJ$7,'3° PERIODO'!$A$7:$BV$36,CG17+1)="","",VLOOKUP($CJ$7,'3° PERIODO'!$A$7:$BV$36,CG17+1)),"")</f>
        <v/>
      </c>
      <c r="BG17" s="42"/>
      <c r="BH17" s="42"/>
      <c r="BI17" s="42"/>
      <c r="BJ17" s="42"/>
      <c r="BK17" s="42"/>
      <c r="BL17" s="42"/>
      <c r="BM17" s="42"/>
      <c r="BN17" s="42"/>
      <c r="BO17" s="42"/>
      <c r="BP17" s="42" t="str">
        <f>IFERROR(IF(VLOOKUP($CJ$7,'4° PERIODO'!$A$7:$BV$36,CG17)="","-",VLOOKUP($CJ$7,'4° PERIODO'!$A$7:$BV$36,CG17)),"")</f>
        <v>A</v>
      </c>
      <c r="BQ17" s="42"/>
      <c r="BR17" s="42"/>
      <c r="BS17" s="42" t="str">
        <f>IFERROR(IF(VLOOKUP($CJ$7,'2° PERIODO'!$A$7:$BV$36,CG17+1)="","",VLOOKUP($CJ$7,'2° PERIODO'!$A$7:$BV$36,CG17+1)),"")</f>
        <v/>
      </c>
      <c r="BT17" s="42"/>
      <c r="BU17" s="42"/>
      <c r="BV17" s="42"/>
      <c r="BW17" s="42"/>
      <c r="BX17" s="42"/>
      <c r="BY17" s="42"/>
      <c r="BZ17" s="42"/>
      <c r="CA17" s="42"/>
      <c r="CB17" s="42"/>
      <c r="CC17" s="40" t="str" cm="1">
        <f t="array" ref="CC17">IFERROR(_xlfn.XLOOKUP(ROUND(AVERAGE(_xlfn.XLOOKUP(CK17:CN17,{"AD";"A";"B";"C"},{1;2;3;4},"")),0),{1;2;3;4},{"AD";"A";"B";"C"}),"-")</f>
        <v>A</v>
      </c>
      <c r="CD17" s="40"/>
      <c r="CE17" s="40"/>
      <c r="CF17" s="40"/>
      <c r="CG17" s="27">
        <v>12</v>
      </c>
      <c r="CK17" s="22" t="str">
        <f>AC17</f>
        <v>B</v>
      </c>
      <c r="CL17" s="22" t="str">
        <f>AP17</f>
        <v>A</v>
      </c>
      <c r="CM17" s="22" t="str">
        <f>BC17</f>
        <v>A</v>
      </c>
      <c r="CN17" s="22" t="str">
        <f>BP17</f>
        <v>A</v>
      </c>
    </row>
    <row r="18" spans="1:92" ht="25.15" customHeight="1" x14ac:dyDescent="0.25">
      <c r="A18" s="83"/>
      <c r="B18" s="84"/>
      <c r="C18" s="84"/>
      <c r="D18" s="84"/>
      <c r="E18" s="84"/>
      <c r="F18" s="84"/>
      <c r="G18" s="84"/>
      <c r="H18" s="84"/>
      <c r="I18" s="84"/>
      <c r="J18" s="85"/>
      <c r="K18" s="89" t="s">
        <v>56</v>
      </c>
      <c r="L18" s="90"/>
      <c r="M18" s="90"/>
      <c r="N18" s="90"/>
      <c r="O18" s="90"/>
      <c r="P18" s="90"/>
      <c r="Q18" s="90"/>
      <c r="R18" s="90"/>
      <c r="S18" s="90"/>
      <c r="T18" s="90"/>
      <c r="U18" s="90"/>
      <c r="V18" s="90"/>
      <c r="W18" s="90"/>
      <c r="X18" s="90"/>
      <c r="Y18" s="90"/>
      <c r="Z18" s="90"/>
      <c r="AA18" s="90"/>
      <c r="AB18" s="91"/>
      <c r="AC18" s="40" t="str">
        <f>IFERROR(IF(VLOOKUP($CJ$7,'1° PERIODO'!$A$7:$AT$36,CG18)="","-",VLOOKUP($CJ$7,'1° PERIODO'!$A$7:$AT$36,CG18)),"")</f>
        <v>B</v>
      </c>
      <c r="AD18" s="40"/>
      <c r="AE18" s="40"/>
      <c r="AF18" s="40"/>
      <c r="AG18" s="40"/>
      <c r="AH18" s="40"/>
      <c r="AI18" s="40"/>
      <c r="AJ18" s="40"/>
      <c r="AK18" s="40"/>
      <c r="AL18" s="40"/>
      <c r="AM18" s="40"/>
      <c r="AN18" s="40"/>
      <c r="AO18" s="40"/>
      <c r="AP18" s="40" t="str">
        <f>IFERROR(IF(VLOOKUP($CJ$7,'2° PERIODO'!$A$7:$BV$36,CG18)="","-",VLOOKUP($CJ$7,'2° PERIODO'!$A$7:$BV$36,CG18)),"")</f>
        <v>A</v>
      </c>
      <c r="AQ18" s="40"/>
      <c r="AR18" s="40"/>
      <c r="AS18" s="40"/>
      <c r="AT18" s="40"/>
      <c r="AU18" s="40"/>
      <c r="AV18" s="40"/>
      <c r="AW18" s="40"/>
      <c r="AX18" s="40"/>
      <c r="AY18" s="40"/>
      <c r="AZ18" s="40"/>
      <c r="BA18" s="40"/>
      <c r="BB18" s="40"/>
      <c r="BC18" s="40" t="str">
        <f>IFERROR(IF(VLOOKUP($CJ$7,'3° PERIODO'!$A$7:$BV$36,CG18)="","-",VLOOKUP($CJ$7,'3° PERIODO'!$A$7:$BV$36,CG18)),"")</f>
        <v>A</v>
      </c>
      <c r="BD18" s="40"/>
      <c r="BE18" s="40"/>
      <c r="BF18" s="40"/>
      <c r="BG18" s="40"/>
      <c r="BH18" s="40"/>
      <c r="BI18" s="40"/>
      <c r="BJ18" s="40"/>
      <c r="BK18" s="40"/>
      <c r="BL18" s="40"/>
      <c r="BM18" s="40"/>
      <c r="BN18" s="40"/>
      <c r="BO18" s="40"/>
      <c r="BP18" s="40" t="str">
        <f>IFERROR(IF(VLOOKUP($CJ$7,'4° PERIODO'!$A$7:$BV$36,CG18)="","-",VLOOKUP($CJ$7,'4° PERIODO'!$A$7:$BV$36,CG18)),"")</f>
        <v>A</v>
      </c>
      <c r="BQ18" s="40"/>
      <c r="BR18" s="40"/>
      <c r="BS18" s="40"/>
      <c r="BT18" s="40"/>
      <c r="BU18" s="40"/>
      <c r="BV18" s="40"/>
      <c r="BW18" s="40"/>
      <c r="BX18" s="40"/>
      <c r="BY18" s="40"/>
      <c r="BZ18" s="40"/>
      <c r="CA18" s="40"/>
      <c r="CB18" s="40"/>
      <c r="CC18" s="40" t="str" cm="1">
        <f t="array" ref="CC18">IFERROR(_xlfn.XLOOKUP(ROUND(AVERAGE(_xlfn.XLOOKUP(CK18:CN18,{"AD";"A";"B";"C"},{1;2;3;4},"")),0),{1;2;3;4},{"AD";"A";"B";"C"}),"-")</f>
        <v>A</v>
      </c>
      <c r="CD18" s="40"/>
      <c r="CE18" s="40"/>
      <c r="CF18" s="40"/>
      <c r="CG18" s="27">
        <v>14</v>
      </c>
      <c r="CK18" s="22" t="str">
        <f t="shared" ref="CK18:CK33" si="0">AC18</f>
        <v>B</v>
      </c>
      <c r="CL18" s="22" t="str">
        <f t="shared" ref="CL18:CL33" si="1">AP18</f>
        <v>A</v>
      </c>
      <c r="CM18" s="22" t="str">
        <f t="shared" ref="CM18:CM33" si="2">BC18</f>
        <v>A</v>
      </c>
      <c r="CN18" s="22" t="str">
        <f t="shared" ref="CN18:CN33" si="3">BP18</f>
        <v>A</v>
      </c>
    </row>
    <row r="19" spans="1:92" ht="25.15" customHeight="1" x14ac:dyDescent="0.25">
      <c r="A19" s="80" t="s">
        <v>91</v>
      </c>
      <c r="B19" s="81"/>
      <c r="C19" s="81"/>
      <c r="D19" s="81"/>
      <c r="E19" s="81"/>
      <c r="F19" s="81"/>
      <c r="G19" s="81"/>
      <c r="H19" s="81"/>
      <c r="I19" s="81"/>
      <c r="J19" s="82"/>
      <c r="K19" s="78" t="s">
        <v>23</v>
      </c>
      <c r="L19" s="78"/>
      <c r="M19" s="78"/>
      <c r="N19" s="78"/>
      <c r="O19" s="78"/>
      <c r="P19" s="78"/>
      <c r="Q19" s="78"/>
      <c r="R19" s="78"/>
      <c r="S19" s="78"/>
      <c r="T19" s="78"/>
      <c r="U19" s="78"/>
      <c r="V19" s="78"/>
      <c r="W19" s="78"/>
      <c r="X19" s="78"/>
      <c r="Y19" s="78"/>
      <c r="Z19" s="78"/>
      <c r="AA19" s="78"/>
      <c r="AB19" s="78"/>
      <c r="AC19" s="42" t="str">
        <f>IFERROR(IF(VLOOKUP($CJ$7,'1° PERIODO'!$A$7:$AT$36,CG19)="","-",VLOOKUP($CJ$7,'1° PERIODO'!$A$7:$AT$36,CG19)),"")</f>
        <v>B</v>
      </c>
      <c r="AD19" s="42"/>
      <c r="AE19" s="42"/>
      <c r="AF19" s="42" t="str">
        <f>IFERROR(IF(VLOOKUP($CJ$7,'1° PERIODO'!$A$7:$AT$36,CG19+1)="","",VLOOKUP($CJ$7,'1° PERIODO'!$A$7:$AT$36,CG19+1)),"")</f>
        <v/>
      </c>
      <c r="AG19" s="42"/>
      <c r="AH19" s="42"/>
      <c r="AI19" s="42"/>
      <c r="AJ19" s="42"/>
      <c r="AK19" s="42"/>
      <c r="AL19" s="42"/>
      <c r="AM19" s="42"/>
      <c r="AN19" s="42"/>
      <c r="AO19" s="42"/>
      <c r="AP19" s="42" t="str">
        <f>IFERROR(IF(VLOOKUP($CJ$7,'2° PERIODO'!$A$7:$BV$36,CG19)="","-",VLOOKUP($CJ$7,'2° PERIODO'!$A$7:$BV$36,CG19)),"")</f>
        <v>B</v>
      </c>
      <c r="AQ19" s="42"/>
      <c r="AR19" s="42"/>
      <c r="AS19" s="42" t="str">
        <f>IFERROR(IF(VLOOKUP($CJ$7,'2° PERIODO'!$A$7:$BV$36,CG19+1)="","",VLOOKUP($CJ$7,'2° PERIODO'!$A$7:$BV$36,CG19+1)),"")</f>
        <v/>
      </c>
      <c r="AT19" s="42"/>
      <c r="AU19" s="42"/>
      <c r="AV19" s="42"/>
      <c r="AW19" s="42"/>
      <c r="AX19" s="42"/>
      <c r="AY19" s="42"/>
      <c r="AZ19" s="42"/>
      <c r="BA19" s="42"/>
      <c r="BB19" s="42"/>
      <c r="BC19" s="42" t="str">
        <f>IFERROR(IF(VLOOKUP($CJ$7,'3° PERIODO'!$A$7:$BV$36,CG19)="","-",VLOOKUP($CJ$7,'3° PERIODO'!$A$7:$BV$36,CG19)),"")</f>
        <v>A</v>
      </c>
      <c r="BD19" s="42"/>
      <c r="BE19" s="42"/>
      <c r="BF19" s="42" t="str">
        <f>IFERROR(IF(VLOOKUP($CJ$7,'3° PERIODO'!$A$7:$BV$36,CG19+1)="","",VLOOKUP($CJ$7,'3° PERIODO'!$A$7:$BV$36,CG19+1)),"")</f>
        <v/>
      </c>
      <c r="BG19" s="42"/>
      <c r="BH19" s="42"/>
      <c r="BI19" s="42"/>
      <c r="BJ19" s="42"/>
      <c r="BK19" s="42"/>
      <c r="BL19" s="42"/>
      <c r="BM19" s="42"/>
      <c r="BN19" s="42"/>
      <c r="BO19" s="42"/>
      <c r="BP19" s="42" t="str">
        <f>IFERROR(IF(VLOOKUP($CJ$7,'4° PERIODO'!$A$7:$BV$36,CG19)="","-",VLOOKUP($CJ$7,'4° PERIODO'!$A$7:$BV$36,CG19)),"")</f>
        <v>A</v>
      </c>
      <c r="BQ19" s="42"/>
      <c r="BR19" s="42"/>
      <c r="BS19" s="42" t="str">
        <f>IFERROR(IF(VLOOKUP($CJ$7,'2° PERIODO'!$A$7:$BV$36,CG19+1)="","",VLOOKUP($CJ$7,'2° PERIODO'!$A$7:$BV$36,CG19+1)),"")</f>
        <v/>
      </c>
      <c r="BT19" s="42"/>
      <c r="BU19" s="42"/>
      <c r="BV19" s="42"/>
      <c r="BW19" s="42"/>
      <c r="BX19" s="42"/>
      <c r="BY19" s="42"/>
      <c r="BZ19" s="42"/>
      <c r="CA19" s="42"/>
      <c r="CB19" s="42"/>
      <c r="CC19" s="40" t="str" cm="1">
        <f t="array" ref="CC19">IFERROR(_xlfn.XLOOKUP(ROUND(AVERAGE(_xlfn.XLOOKUP(CK19:CN19,{"AD";"A";"B";"C"},{1;2;3;4},"")),0),{1;2;3;4},{"AD";"A";"B";"C"}),"-")</f>
        <v>B</v>
      </c>
      <c r="CD19" s="40"/>
      <c r="CE19" s="40"/>
      <c r="CF19" s="40"/>
      <c r="CG19" s="27">
        <v>15</v>
      </c>
      <c r="CK19" s="22" t="str">
        <f t="shared" si="0"/>
        <v>B</v>
      </c>
      <c r="CL19" s="22" t="str">
        <f t="shared" si="1"/>
        <v>B</v>
      </c>
      <c r="CM19" s="22" t="str">
        <f t="shared" si="2"/>
        <v>A</v>
      </c>
      <c r="CN19" s="22" t="str">
        <f t="shared" si="3"/>
        <v>A</v>
      </c>
    </row>
    <row r="20" spans="1:92" ht="25.15" customHeight="1" x14ac:dyDescent="0.25">
      <c r="A20" s="83"/>
      <c r="B20" s="84"/>
      <c r="C20" s="84"/>
      <c r="D20" s="84"/>
      <c r="E20" s="84"/>
      <c r="F20" s="84"/>
      <c r="G20" s="84"/>
      <c r="H20" s="84"/>
      <c r="I20" s="84"/>
      <c r="J20" s="85"/>
      <c r="K20" s="89" t="s">
        <v>56</v>
      </c>
      <c r="L20" s="90"/>
      <c r="M20" s="90"/>
      <c r="N20" s="90"/>
      <c r="O20" s="90"/>
      <c r="P20" s="90"/>
      <c r="Q20" s="90"/>
      <c r="R20" s="90"/>
      <c r="S20" s="90"/>
      <c r="T20" s="90"/>
      <c r="U20" s="90"/>
      <c r="V20" s="90"/>
      <c r="W20" s="90"/>
      <c r="X20" s="90"/>
      <c r="Y20" s="90"/>
      <c r="Z20" s="90"/>
      <c r="AA20" s="90"/>
      <c r="AB20" s="91"/>
      <c r="AC20" s="40" t="str">
        <f>IFERROR(IF(VLOOKUP($CJ$7,'1° PERIODO'!$A$7:$AT$36,CG20)="","-",VLOOKUP($CJ$7,'1° PERIODO'!$A$7:$AT$36,CG20)),"")</f>
        <v>B</v>
      </c>
      <c r="AD20" s="40"/>
      <c r="AE20" s="40"/>
      <c r="AF20" s="40"/>
      <c r="AG20" s="40"/>
      <c r="AH20" s="40"/>
      <c r="AI20" s="40"/>
      <c r="AJ20" s="40"/>
      <c r="AK20" s="40"/>
      <c r="AL20" s="40"/>
      <c r="AM20" s="40"/>
      <c r="AN20" s="40"/>
      <c r="AO20" s="40"/>
      <c r="AP20" s="40" t="str">
        <f>IFERROR(IF(VLOOKUP($CJ$7,'2° PERIODO'!$A$7:$BV$36,CG20)="","-",VLOOKUP($CJ$7,'2° PERIODO'!$A$7:$BV$36,CG20)),"")</f>
        <v>B</v>
      </c>
      <c r="AQ20" s="40"/>
      <c r="AR20" s="40"/>
      <c r="AS20" s="40"/>
      <c r="AT20" s="40"/>
      <c r="AU20" s="40"/>
      <c r="AV20" s="40"/>
      <c r="AW20" s="40"/>
      <c r="AX20" s="40"/>
      <c r="AY20" s="40"/>
      <c r="AZ20" s="40"/>
      <c r="BA20" s="40"/>
      <c r="BB20" s="40"/>
      <c r="BC20" s="40" t="str">
        <f>IFERROR(IF(VLOOKUP($CJ$7,'3° PERIODO'!$A$7:$BV$36,CG20)="","-",VLOOKUP($CJ$7,'3° PERIODO'!$A$7:$BV$36,CG20)),"")</f>
        <v>A</v>
      </c>
      <c r="BD20" s="40"/>
      <c r="BE20" s="40"/>
      <c r="BF20" s="40"/>
      <c r="BG20" s="40"/>
      <c r="BH20" s="40"/>
      <c r="BI20" s="40"/>
      <c r="BJ20" s="40"/>
      <c r="BK20" s="40"/>
      <c r="BL20" s="40"/>
      <c r="BM20" s="40"/>
      <c r="BN20" s="40"/>
      <c r="BO20" s="40"/>
      <c r="BP20" s="40" t="str">
        <f>IFERROR(IF(VLOOKUP($CJ$7,'4° PERIODO'!$A$7:$BV$36,CG20)="","-",VLOOKUP($CJ$7,'4° PERIODO'!$A$7:$BV$36,CG20)),"")</f>
        <v>A</v>
      </c>
      <c r="BQ20" s="40"/>
      <c r="BR20" s="40"/>
      <c r="BS20" s="40"/>
      <c r="BT20" s="40"/>
      <c r="BU20" s="40"/>
      <c r="BV20" s="40"/>
      <c r="BW20" s="40"/>
      <c r="BX20" s="40"/>
      <c r="BY20" s="40"/>
      <c r="BZ20" s="40"/>
      <c r="CA20" s="40"/>
      <c r="CB20" s="40"/>
      <c r="CC20" s="40" t="str" cm="1">
        <f t="array" ref="CC20">IFERROR(_xlfn.XLOOKUP(ROUND(AVERAGE(_xlfn.XLOOKUP(CK20:CN20,{"AD";"A";"B";"C"},{1;2;3;4},"")),0),{1;2;3;4},{"AD";"A";"B";"C"}),"-")</f>
        <v>B</v>
      </c>
      <c r="CD20" s="40"/>
      <c r="CE20" s="40"/>
      <c r="CF20" s="40"/>
      <c r="CG20" s="27">
        <v>17</v>
      </c>
      <c r="CK20" s="22" t="str">
        <f t="shared" si="0"/>
        <v>B</v>
      </c>
      <c r="CL20" s="22" t="str">
        <f t="shared" si="1"/>
        <v>B</v>
      </c>
      <c r="CM20" s="22" t="str">
        <f t="shared" si="2"/>
        <v>A</v>
      </c>
      <c r="CN20" s="22" t="str">
        <f t="shared" si="3"/>
        <v>A</v>
      </c>
    </row>
    <row r="21" spans="1:92" ht="25.15" customHeight="1" x14ac:dyDescent="0.25">
      <c r="A21" s="80" t="s">
        <v>24</v>
      </c>
      <c r="B21" s="81"/>
      <c r="C21" s="81"/>
      <c r="D21" s="81"/>
      <c r="E21" s="81"/>
      <c r="F21" s="81"/>
      <c r="G21" s="81"/>
      <c r="H21" s="81"/>
      <c r="I21" s="81"/>
      <c r="J21" s="82"/>
      <c r="K21" s="78" t="s">
        <v>58</v>
      </c>
      <c r="L21" s="78"/>
      <c r="M21" s="78"/>
      <c r="N21" s="78"/>
      <c r="O21" s="78"/>
      <c r="P21" s="78"/>
      <c r="Q21" s="78"/>
      <c r="R21" s="78"/>
      <c r="S21" s="78"/>
      <c r="T21" s="78"/>
      <c r="U21" s="78"/>
      <c r="V21" s="78"/>
      <c r="W21" s="78"/>
      <c r="X21" s="78"/>
      <c r="Y21" s="78"/>
      <c r="Z21" s="78"/>
      <c r="AA21" s="78"/>
      <c r="AB21" s="78"/>
      <c r="AC21" s="42" t="str">
        <f>IFERROR(IF(VLOOKUP($CJ$7,'1° PERIODO'!$A$7:$AT$36,CG21)="","-",VLOOKUP($CJ$7,'1° PERIODO'!$A$7:$AT$36,CG21)),"")</f>
        <v>A</v>
      </c>
      <c r="AD21" s="42"/>
      <c r="AE21" s="42"/>
      <c r="AF21" s="42" t="str">
        <f>IFERROR(IF(VLOOKUP($CJ$7,'1° PERIODO'!$A$7:$AT$36,CG21+1)="","",VLOOKUP($CJ$7,'1° PERIODO'!$A$7:$AT$36,CG21+1)),"")</f>
        <v/>
      </c>
      <c r="AG21" s="42"/>
      <c r="AH21" s="42"/>
      <c r="AI21" s="42"/>
      <c r="AJ21" s="42"/>
      <c r="AK21" s="42"/>
      <c r="AL21" s="42"/>
      <c r="AM21" s="42"/>
      <c r="AN21" s="42"/>
      <c r="AO21" s="42"/>
      <c r="AP21" s="42" t="str">
        <f>IFERROR(IF(VLOOKUP($CJ$7,'2° PERIODO'!$A$7:$BV$36,CG21)="","-",VLOOKUP($CJ$7,'2° PERIODO'!$A$7:$BV$36,CG21)),"")</f>
        <v>A</v>
      </c>
      <c r="AQ21" s="42"/>
      <c r="AR21" s="42"/>
      <c r="AS21" s="42" t="str">
        <f>IFERROR(IF(VLOOKUP($CJ$7,'2° PERIODO'!$A$7:$BV$36,CG21+1)="","",VLOOKUP($CJ$7,'2° PERIODO'!$A$7:$BV$36,CG21+1)),"")</f>
        <v/>
      </c>
      <c r="AT21" s="42"/>
      <c r="AU21" s="42"/>
      <c r="AV21" s="42"/>
      <c r="AW21" s="42"/>
      <c r="AX21" s="42"/>
      <c r="AY21" s="42"/>
      <c r="AZ21" s="42"/>
      <c r="BA21" s="42"/>
      <c r="BB21" s="42"/>
      <c r="BC21" s="42" t="str">
        <f>IFERROR(IF(VLOOKUP($CJ$7,'3° PERIODO'!$A$7:$BV$36,CG21)="","-",VLOOKUP($CJ$7,'3° PERIODO'!$A$7:$BV$36,CG21)),"")</f>
        <v>A</v>
      </c>
      <c r="BD21" s="42"/>
      <c r="BE21" s="42"/>
      <c r="BF21" s="42" t="str">
        <f>IFERROR(IF(VLOOKUP($CJ$7,'3° PERIODO'!$A$7:$BV$36,CG21+1)="","",VLOOKUP($CJ$7,'3° PERIODO'!$A$7:$BV$36,CG21+1)),"")</f>
        <v/>
      </c>
      <c r="BG21" s="42"/>
      <c r="BH21" s="42"/>
      <c r="BI21" s="42"/>
      <c r="BJ21" s="42"/>
      <c r="BK21" s="42"/>
      <c r="BL21" s="42"/>
      <c r="BM21" s="42"/>
      <c r="BN21" s="42"/>
      <c r="BO21" s="42"/>
      <c r="BP21" s="42" t="str">
        <f>IFERROR(IF(VLOOKUP($CJ$7,'4° PERIODO'!$A$7:$BV$36,CG21)="","-",VLOOKUP($CJ$7,'4° PERIODO'!$A$7:$BV$36,CG21)),"")</f>
        <v>A</v>
      </c>
      <c r="BQ21" s="42"/>
      <c r="BR21" s="42"/>
      <c r="BS21" s="42" t="str">
        <f>IFERROR(IF(VLOOKUP($CJ$7,'2° PERIODO'!$A$7:$BV$36,CG21+1)="","",VLOOKUP($CJ$7,'2° PERIODO'!$A$7:$BV$36,CG21+1)),"")</f>
        <v/>
      </c>
      <c r="BT21" s="42"/>
      <c r="BU21" s="42"/>
      <c r="BV21" s="42"/>
      <c r="BW21" s="42"/>
      <c r="BX21" s="42"/>
      <c r="BY21" s="42"/>
      <c r="BZ21" s="42"/>
      <c r="CA21" s="42"/>
      <c r="CB21" s="42"/>
      <c r="CC21" s="40" t="str" cm="1">
        <f t="array" ref="CC21">IFERROR(_xlfn.XLOOKUP(ROUND(AVERAGE(_xlfn.XLOOKUP(CK21:CN21,{"AD";"A";"B";"C"},{1;2;3;4},"")),0),{1;2;3;4},{"AD";"A";"B";"C"}),"-")</f>
        <v>A</v>
      </c>
      <c r="CD21" s="40"/>
      <c r="CE21" s="40"/>
      <c r="CF21" s="40"/>
      <c r="CG21" s="27">
        <v>18</v>
      </c>
      <c r="CK21" s="22" t="str">
        <f t="shared" si="0"/>
        <v>A</v>
      </c>
      <c r="CL21" s="22" t="str">
        <f t="shared" si="1"/>
        <v>A</v>
      </c>
      <c r="CM21" s="22" t="str">
        <f t="shared" si="2"/>
        <v>A</v>
      </c>
      <c r="CN21" s="22" t="str">
        <f t="shared" si="3"/>
        <v>A</v>
      </c>
    </row>
    <row r="22" spans="1:92" ht="25.15" customHeight="1" x14ac:dyDescent="0.25">
      <c r="A22" s="95"/>
      <c r="B22" s="96"/>
      <c r="C22" s="96"/>
      <c r="D22" s="96"/>
      <c r="E22" s="96"/>
      <c r="F22" s="96"/>
      <c r="G22" s="96"/>
      <c r="H22" s="96"/>
      <c r="I22" s="96"/>
      <c r="J22" s="97"/>
      <c r="K22" s="78" t="s">
        <v>59</v>
      </c>
      <c r="L22" s="78"/>
      <c r="M22" s="78"/>
      <c r="N22" s="78"/>
      <c r="O22" s="78"/>
      <c r="P22" s="78"/>
      <c r="Q22" s="78"/>
      <c r="R22" s="78"/>
      <c r="S22" s="78"/>
      <c r="T22" s="78"/>
      <c r="U22" s="78"/>
      <c r="V22" s="78"/>
      <c r="W22" s="78"/>
      <c r="X22" s="78"/>
      <c r="Y22" s="78"/>
      <c r="Z22" s="78"/>
      <c r="AA22" s="78"/>
      <c r="AB22" s="78"/>
      <c r="AC22" s="42" t="str">
        <f>IFERROR(IF(VLOOKUP($CJ$7,'1° PERIODO'!$A$7:$AT$36,CG22)="","-",VLOOKUP($CJ$7,'1° PERIODO'!$A$7:$AT$36,CG22)),"")</f>
        <v>B</v>
      </c>
      <c r="AD22" s="42"/>
      <c r="AE22" s="42"/>
      <c r="AF22" s="42" t="str">
        <f>IFERROR(IF(VLOOKUP($CJ$7,'1° PERIODO'!$A$7:$AT$36,CG22+1)="","",VLOOKUP($CJ$7,'1° PERIODO'!$A$7:$AT$36,CG22+1)),"")</f>
        <v/>
      </c>
      <c r="AG22" s="42"/>
      <c r="AH22" s="42"/>
      <c r="AI22" s="42"/>
      <c r="AJ22" s="42"/>
      <c r="AK22" s="42"/>
      <c r="AL22" s="42"/>
      <c r="AM22" s="42"/>
      <c r="AN22" s="42"/>
      <c r="AO22" s="42"/>
      <c r="AP22" s="42" t="str">
        <f>IFERROR(IF(VLOOKUP($CJ$7,'2° PERIODO'!$A$7:$BV$36,CG22)="","-",VLOOKUP($CJ$7,'2° PERIODO'!$A$7:$BV$36,CG22)),"")</f>
        <v>A</v>
      </c>
      <c r="AQ22" s="42"/>
      <c r="AR22" s="42"/>
      <c r="AS22" s="42" t="str">
        <f>IFERROR(IF(VLOOKUP($CJ$7,'2° PERIODO'!$A$7:$BV$36,CG22+1)="","",VLOOKUP($CJ$7,'2° PERIODO'!$A$7:$BV$36,CG22+1)),"")</f>
        <v/>
      </c>
      <c r="AT22" s="42"/>
      <c r="AU22" s="42"/>
      <c r="AV22" s="42"/>
      <c r="AW22" s="42"/>
      <c r="AX22" s="42"/>
      <c r="AY22" s="42"/>
      <c r="AZ22" s="42"/>
      <c r="BA22" s="42"/>
      <c r="BB22" s="42"/>
      <c r="BC22" s="42" t="str">
        <f>IFERROR(IF(VLOOKUP($CJ$7,'3° PERIODO'!$A$7:$BV$36,CG22)="","-",VLOOKUP($CJ$7,'3° PERIODO'!$A$7:$BV$36,CG22)),"")</f>
        <v>A</v>
      </c>
      <c r="BD22" s="42"/>
      <c r="BE22" s="42"/>
      <c r="BF22" s="42" t="str">
        <f>IFERROR(IF(VLOOKUP($CJ$7,'3° PERIODO'!$A$7:$BV$36,CG22+1)="","",VLOOKUP($CJ$7,'3° PERIODO'!$A$7:$BV$36,CG22+1)),"")</f>
        <v/>
      </c>
      <c r="BG22" s="42"/>
      <c r="BH22" s="42"/>
      <c r="BI22" s="42"/>
      <c r="BJ22" s="42"/>
      <c r="BK22" s="42"/>
      <c r="BL22" s="42"/>
      <c r="BM22" s="42"/>
      <c r="BN22" s="42"/>
      <c r="BO22" s="42"/>
      <c r="BP22" s="42" t="str">
        <f>IFERROR(IF(VLOOKUP($CJ$7,'4° PERIODO'!$A$7:$BV$36,CG22)="","-",VLOOKUP($CJ$7,'4° PERIODO'!$A$7:$BV$36,CG22)),"")</f>
        <v>A</v>
      </c>
      <c r="BQ22" s="42"/>
      <c r="BR22" s="42"/>
      <c r="BS22" s="42" t="str">
        <f>IFERROR(IF(VLOOKUP($CJ$7,'2° PERIODO'!$A$7:$BV$36,CG22+1)="","",VLOOKUP($CJ$7,'2° PERIODO'!$A$7:$BV$36,CG22+1)),"")</f>
        <v/>
      </c>
      <c r="BT22" s="42"/>
      <c r="BU22" s="42"/>
      <c r="BV22" s="42"/>
      <c r="BW22" s="42"/>
      <c r="BX22" s="42"/>
      <c r="BY22" s="42"/>
      <c r="BZ22" s="42"/>
      <c r="CA22" s="42"/>
      <c r="CB22" s="42"/>
      <c r="CC22" s="40" t="str" cm="1">
        <f t="array" ref="CC22">IFERROR(_xlfn.XLOOKUP(ROUND(AVERAGE(_xlfn.XLOOKUP(CK22:CN22,{"AD";"A";"B";"C"},{1;2;3;4},"")),0),{1;2;3;4},{"AD";"A";"B";"C"}),"-")</f>
        <v>A</v>
      </c>
      <c r="CD22" s="40"/>
      <c r="CE22" s="40"/>
      <c r="CF22" s="40"/>
      <c r="CG22" s="27">
        <v>20</v>
      </c>
      <c r="CK22" s="22" t="str">
        <f t="shared" si="0"/>
        <v>B</v>
      </c>
      <c r="CL22" s="22" t="str">
        <f t="shared" si="1"/>
        <v>A</v>
      </c>
      <c r="CM22" s="22" t="str">
        <f t="shared" si="2"/>
        <v>A</v>
      </c>
      <c r="CN22" s="22" t="str">
        <f t="shared" si="3"/>
        <v>A</v>
      </c>
    </row>
    <row r="23" spans="1:92" ht="25.15" customHeight="1" x14ac:dyDescent="0.25">
      <c r="A23" s="95"/>
      <c r="B23" s="96"/>
      <c r="C23" s="96"/>
      <c r="D23" s="96"/>
      <c r="E23" s="96"/>
      <c r="F23" s="96"/>
      <c r="G23" s="96"/>
      <c r="H23" s="96"/>
      <c r="I23" s="96"/>
      <c r="J23" s="97"/>
      <c r="K23" s="78" t="s">
        <v>60</v>
      </c>
      <c r="L23" s="78"/>
      <c r="M23" s="78"/>
      <c r="N23" s="78"/>
      <c r="O23" s="78"/>
      <c r="P23" s="78"/>
      <c r="Q23" s="78"/>
      <c r="R23" s="78"/>
      <c r="S23" s="78"/>
      <c r="T23" s="78"/>
      <c r="U23" s="78"/>
      <c r="V23" s="78"/>
      <c r="W23" s="78"/>
      <c r="X23" s="78"/>
      <c r="Y23" s="78"/>
      <c r="Z23" s="78"/>
      <c r="AA23" s="78"/>
      <c r="AB23" s="78"/>
      <c r="AC23" s="42" t="str">
        <f>IFERROR(IF(VLOOKUP($CJ$7,'1° PERIODO'!$A$7:$AT$36,CG23)="","-",VLOOKUP($CJ$7,'1° PERIODO'!$A$7:$AT$36,CG23)),"")</f>
        <v>B</v>
      </c>
      <c r="AD23" s="42"/>
      <c r="AE23" s="42"/>
      <c r="AF23" s="42" t="str">
        <f>IFERROR(IF(VLOOKUP($CJ$7,'1° PERIODO'!$A$7:$AT$36,CG23+1)="","",VLOOKUP($CJ$7,'1° PERIODO'!$A$7:$AT$36,CG23+1)),"")</f>
        <v/>
      </c>
      <c r="AG23" s="42"/>
      <c r="AH23" s="42"/>
      <c r="AI23" s="42"/>
      <c r="AJ23" s="42"/>
      <c r="AK23" s="42"/>
      <c r="AL23" s="42"/>
      <c r="AM23" s="42"/>
      <c r="AN23" s="42"/>
      <c r="AO23" s="42"/>
      <c r="AP23" s="42" t="str">
        <f>IFERROR(IF(VLOOKUP($CJ$7,'2° PERIODO'!$A$7:$BV$36,CG23)="","-",VLOOKUP($CJ$7,'2° PERIODO'!$A$7:$BV$36,CG23)),"")</f>
        <v>B</v>
      </c>
      <c r="AQ23" s="42"/>
      <c r="AR23" s="42"/>
      <c r="AS23" s="42" t="str">
        <f>IFERROR(IF(VLOOKUP($CJ$7,'2° PERIODO'!$A$7:$BV$36,CG23+1)="","",VLOOKUP($CJ$7,'2° PERIODO'!$A$7:$BV$36,CG23+1)),"")</f>
        <v/>
      </c>
      <c r="AT23" s="42"/>
      <c r="AU23" s="42"/>
      <c r="AV23" s="42"/>
      <c r="AW23" s="42"/>
      <c r="AX23" s="42"/>
      <c r="AY23" s="42"/>
      <c r="AZ23" s="42"/>
      <c r="BA23" s="42"/>
      <c r="BB23" s="42"/>
      <c r="BC23" s="42" t="str">
        <f>IFERROR(IF(VLOOKUP($CJ$7,'3° PERIODO'!$A$7:$BV$36,CG23)="","-",VLOOKUP($CJ$7,'3° PERIODO'!$A$7:$BV$36,CG23)),"")</f>
        <v>A</v>
      </c>
      <c r="BD23" s="42"/>
      <c r="BE23" s="42"/>
      <c r="BF23" s="42" t="str">
        <f>IFERROR(IF(VLOOKUP($CJ$7,'3° PERIODO'!$A$7:$BV$36,CG23+1)="","",VLOOKUP($CJ$7,'3° PERIODO'!$A$7:$BV$36,CG23+1)),"")</f>
        <v/>
      </c>
      <c r="BG23" s="42"/>
      <c r="BH23" s="42"/>
      <c r="BI23" s="42"/>
      <c r="BJ23" s="42"/>
      <c r="BK23" s="42"/>
      <c r="BL23" s="42"/>
      <c r="BM23" s="42"/>
      <c r="BN23" s="42"/>
      <c r="BO23" s="42"/>
      <c r="BP23" s="42" t="str">
        <f>IFERROR(IF(VLOOKUP($CJ$7,'4° PERIODO'!$A$7:$BV$36,CG23)="","-",VLOOKUP($CJ$7,'4° PERIODO'!$A$7:$BV$36,CG23)),"")</f>
        <v>A</v>
      </c>
      <c r="BQ23" s="42"/>
      <c r="BR23" s="42"/>
      <c r="BS23" s="42" t="str">
        <f>IFERROR(IF(VLOOKUP($CJ$7,'2° PERIODO'!$A$7:$BV$36,CG23+1)="","",VLOOKUP($CJ$7,'2° PERIODO'!$A$7:$BV$36,CG23+1)),"")</f>
        <v/>
      </c>
      <c r="BT23" s="42"/>
      <c r="BU23" s="42"/>
      <c r="BV23" s="42"/>
      <c r="BW23" s="42"/>
      <c r="BX23" s="42"/>
      <c r="BY23" s="42"/>
      <c r="BZ23" s="42"/>
      <c r="CA23" s="42"/>
      <c r="CB23" s="42"/>
      <c r="CC23" s="40" t="str" cm="1">
        <f t="array" ref="CC23">IFERROR(_xlfn.XLOOKUP(ROUND(AVERAGE(_xlfn.XLOOKUP(CK23:CN23,{"AD";"A";"B";"C"},{1;2;3;4},"")),0),{1;2;3;4},{"AD";"A";"B";"C"}),"-")</f>
        <v>B</v>
      </c>
      <c r="CD23" s="40"/>
      <c r="CE23" s="40"/>
      <c r="CF23" s="40"/>
      <c r="CG23" s="27">
        <v>22</v>
      </c>
      <c r="CK23" s="22" t="str">
        <f t="shared" si="0"/>
        <v>B</v>
      </c>
      <c r="CL23" s="22" t="str">
        <f t="shared" si="1"/>
        <v>B</v>
      </c>
      <c r="CM23" s="22" t="str">
        <f t="shared" si="2"/>
        <v>A</v>
      </c>
      <c r="CN23" s="22" t="str">
        <f t="shared" si="3"/>
        <v>A</v>
      </c>
    </row>
    <row r="24" spans="1:92" ht="25.15" customHeight="1" x14ac:dyDescent="0.25">
      <c r="A24" s="95"/>
      <c r="B24" s="96"/>
      <c r="C24" s="96"/>
      <c r="D24" s="96"/>
      <c r="E24" s="96"/>
      <c r="F24" s="96"/>
      <c r="G24" s="96"/>
      <c r="H24" s="96"/>
      <c r="I24" s="96"/>
      <c r="J24" s="97"/>
      <c r="K24" s="78" t="s">
        <v>92</v>
      </c>
      <c r="L24" s="78"/>
      <c r="M24" s="78"/>
      <c r="N24" s="78"/>
      <c r="O24" s="78"/>
      <c r="P24" s="78"/>
      <c r="Q24" s="78"/>
      <c r="R24" s="78"/>
      <c r="S24" s="78"/>
      <c r="T24" s="78"/>
      <c r="U24" s="78"/>
      <c r="V24" s="78"/>
      <c r="W24" s="78"/>
      <c r="X24" s="78"/>
      <c r="Y24" s="78"/>
      <c r="Z24" s="78"/>
      <c r="AA24" s="78"/>
      <c r="AB24" s="78"/>
      <c r="AC24" s="42" t="str">
        <f>IFERROR(IF(VLOOKUP($CJ$7,'1° PERIODO'!$A$7:$AT$36,CG24)="","-",VLOOKUP($CJ$7,'1° PERIODO'!$A$7:$AT$36,CG24)),"")</f>
        <v>B</v>
      </c>
      <c r="AD24" s="42"/>
      <c r="AE24" s="42"/>
      <c r="AF24" s="42" t="str">
        <f>IFERROR(IF(VLOOKUP($CJ$7,'1° PERIODO'!$A$7:$AT$36,CG24+1)="","",VLOOKUP($CJ$7,'1° PERIODO'!$A$7:$AT$36,CG24+1)),"")</f>
        <v/>
      </c>
      <c r="AG24" s="42"/>
      <c r="AH24" s="42"/>
      <c r="AI24" s="42"/>
      <c r="AJ24" s="42"/>
      <c r="AK24" s="42"/>
      <c r="AL24" s="42"/>
      <c r="AM24" s="42"/>
      <c r="AN24" s="42"/>
      <c r="AO24" s="42"/>
      <c r="AP24" s="42" t="str">
        <f>IFERROR(IF(VLOOKUP($CJ$7,'2° PERIODO'!$A$7:$BV$36,CG24)="","-",VLOOKUP($CJ$7,'2° PERIODO'!$A$7:$BV$36,CG24)),"")</f>
        <v>A</v>
      </c>
      <c r="AQ24" s="42"/>
      <c r="AR24" s="42"/>
      <c r="AS24" s="42" t="str">
        <f>IFERROR(IF(VLOOKUP($CJ$7,'2° PERIODO'!$A$7:$BV$36,CG24+1)="","",VLOOKUP($CJ$7,'2° PERIODO'!$A$7:$BV$36,CG24+1)),"")</f>
        <v/>
      </c>
      <c r="AT24" s="42"/>
      <c r="AU24" s="42"/>
      <c r="AV24" s="42"/>
      <c r="AW24" s="42"/>
      <c r="AX24" s="42"/>
      <c r="AY24" s="42"/>
      <c r="AZ24" s="42"/>
      <c r="BA24" s="42"/>
      <c r="BB24" s="42"/>
      <c r="BC24" s="42" t="str">
        <f>IFERROR(IF(VLOOKUP($CJ$7,'3° PERIODO'!$A$7:$BV$36,CG24)="","-",VLOOKUP($CJ$7,'3° PERIODO'!$A$7:$BV$36,CG24)),"")</f>
        <v>A</v>
      </c>
      <c r="BD24" s="42"/>
      <c r="BE24" s="42"/>
      <c r="BF24" s="42" t="str">
        <f>IFERROR(IF(VLOOKUP($CJ$7,'3° PERIODO'!$A$7:$BV$36,CG24+1)="","",VLOOKUP($CJ$7,'3° PERIODO'!$A$7:$BV$36,CG24+1)),"")</f>
        <v/>
      </c>
      <c r="BG24" s="42"/>
      <c r="BH24" s="42"/>
      <c r="BI24" s="42"/>
      <c r="BJ24" s="42"/>
      <c r="BK24" s="42"/>
      <c r="BL24" s="42"/>
      <c r="BM24" s="42"/>
      <c r="BN24" s="42"/>
      <c r="BO24" s="42"/>
      <c r="BP24" s="42" t="str">
        <f>IFERROR(IF(VLOOKUP($CJ$7,'4° PERIODO'!$A$7:$BV$36,CG24)="","-",VLOOKUP($CJ$7,'4° PERIODO'!$A$7:$BV$36,CG24)),"")</f>
        <v>A</v>
      </c>
      <c r="BQ24" s="42"/>
      <c r="BR24" s="42"/>
      <c r="BS24" s="42" t="str">
        <f>IFERROR(IF(VLOOKUP($CJ$7,'2° PERIODO'!$A$7:$BV$36,CG24+1)="","",VLOOKUP($CJ$7,'2° PERIODO'!$A$7:$BV$36,CG24+1)),"")</f>
        <v/>
      </c>
      <c r="BT24" s="42"/>
      <c r="BU24" s="42"/>
      <c r="BV24" s="42"/>
      <c r="BW24" s="42"/>
      <c r="BX24" s="42"/>
      <c r="BY24" s="42"/>
      <c r="BZ24" s="42"/>
      <c r="CA24" s="42"/>
      <c r="CB24" s="42"/>
      <c r="CC24" s="40" t="str" cm="1">
        <f t="array" ref="CC24">IFERROR(_xlfn.XLOOKUP(ROUND(AVERAGE(_xlfn.XLOOKUP(CK24:CN24,{"AD";"A";"B";"C"},{1;2;3;4},"")),0),{1;2;3;4},{"AD";"A";"B";"C"}),"-")</f>
        <v>A</v>
      </c>
      <c r="CD24" s="40"/>
      <c r="CE24" s="40"/>
      <c r="CF24" s="40"/>
      <c r="CG24" s="27">
        <v>24</v>
      </c>
      <c r="CK24" s="22" t="str">
        <f t="shared" si="0"/>
        <v>B</v>
      </c>
      <c r="CL24" s="22" t="str">
        <f t="shared" si="1"/>
        <v>A</v>
      </c>
      <c r="CM24" s="22" t="str">
        <f t="shared" si="2"/>
        <v>A</v>
      </c>
      <c r="CN24" s="22" t="str">
        <f t="shared" si="3"/>
        <v>A</v>
      </c>
    </row>
    <row r="25" spans="1:92" ht="25.15" customHeight="1" x14ac:dyDescent="0.25">
      <c r="A25" s="83"/>
      <c r="B25" s="84"/>
      <c r="C25" s="84"/>
      <c r="D25" s="84"/>
      <c r="E25" s="84"/>
      <c r="F25" s="84"/>
      <c r="G25" s="84"/>
      <c r="H25" s="84"/>
      <c r="I25" s="84"/>
      <c r="J25" s="85"/>
      <c r="K25" s="89" t="s">
        <v>56</v>
      </c>
      <c r="L25" s="90"/>
      <c r="M25" s="90"/>
      <c r="N25" s="90"/>
      <c r="O25" s="90"/>
      <c r="P25" s="90"/>
      <c r="Q25" s="90"/>
      <c r="R25" s="90"/>
      <c r="S25" s="90"/>
      <c r="T25" s="90"/>
      <c r="U25" s="90"/>
      <c r="V25" s="90"/>
      <c r="W25" s="90"/>
      <c r="X25" s="90"/>
      <c r="Y25" s="90"/>
      <c r="Z25" s="90"/>
      <c r="AA25" s="90"/>
      <c r="AB25" s="91"/>
      <c r="AC25" s="40" t="str">
        <f>IFERROR(IF(VLOOKUP($CJ$7,'1° PERIODO'!$A$7:$AT$36,CG25)="","-",VLOOKUP($CJ$7,'1° PERIODO'!$A$7:$AT$36,CG25)),"")</f>
        <v>B</v>
      </c>
      <c r="AD25" s="40"/>
      <c r="AE25" s="40"/>
      <c r="AF25" s="40"/>
      <c r="AG25" s="40"/>
      <c r="AH25" s="40"/>
      <c r="AI25" s="40"/>
      <c r="AJ25" s="40"/>
      <c r="AK25" s="40"/>
      <c r="AL25" s="40"/>
      <c r="AM25" s="40"/>
      <c r="AN25" s="40"/>
      <c r="AO25" s="40"/>
      <c r="AP25" s="40" t="str">
        <f>IFERROR(IF(VLOOKUP($CJ$7,'2° PERIODO'!$A$7:$BV$36,CG25)="","-",VLOOKUP($CJ$7,'2° PERIODO'!$A$7:$BV$36,CG25)),"")</f>
        <v>A</v>
      </c>
      <c r="AQ25" s="40"/>
      <c r="AR25" s="40"/>
      <c r="AS25" s="40"/>
      <c r="AT25" s="40"/>
      <c r="AU25" s="40"/>
      <c r="AV25" s="40"/>
      <c r="AW25" s="40"/>
      <c r="AX25" s="40"/>
      <c r="AY25" s="40"/>
      <c r="AZ25" s="40"/>
      <c r="BA25" s="40"/>
      <c r="BB25" s="40"/>
      <c r="BC25" s="40" t="str">
        <f>IFERROR(IF(VLOOKUP($CJ$7,'3° PERIODO'!$A$7:$BV$36,CG25)="","-",VLOOKUP($CJ$7,'3° PERIODO'!$A$7:$BV$36,CG25)),"")</f>
        <v>A</v>
      </c>
      <c r="BD25" s="40"/>
      <c r="BE25" s="40"/>
      <c r="BF25" s="40"/>
      <c r="BG25" s="40"/>
      <c r="BH25" s="40"/>
      <c r="BI25" s="40"/>
      <c r="BJ25" s="40"/>
      <c r="BK25" s="40"/>
      <c r="BL25" s="40"/>
      <c r="BM25" s="40"/>
      <c r="BN25" s="40"/>
      <c r="BO25" s="40"/>
      <c r="BP25" s="40" t="str">
        <f>IFERROR(IF(VLOOKUP($CJ$7,'4° PERIODO'!$A$7:$BV$36,CG25)="","-",VLOOKUP($CJ$7,'4° PERIODO'!$A$7:$BV$36,CG25)),"")</f>
        <v>A</v>
      </c>
      <c r="BQ25" s="40"/>
      <c r="BR25" s="40"/>
      <c r="BS25" s="40"/>
      <c r="BT25" s="40"/>
      <c r="BU25" s="40"/>
      <c r="BV25" s="40"/>
      <c r="BW25" s="40"/>
      <c r="BX25" s="40"/>
      <c r="BY25" s="40"/>
      <c r="BZ25" s="40"/>
      <c r="CA25" s="40"/>
      <c r="CB25" s="40"/>
      <c r="CC25" s="40" t="str" cm="1">
        <f t="array" ref="CC25">IFERROR(_xlfn.XLOOKUP(ROUND(AVERAGE(_xlfn.XLOOKUP(CK25:CN25,{"AD";"A";"B";"C"},{1;2;3;4},"")),0),{1;2;3;4},{"AD";"A";"B";"C"}),"-")</f>
        <v>A</v>
      </c>
      <c r="CD25" s="40"/>
      <c r="CE25" s="40"/>
      <c r="CF25" s="40"/>
      <c r="CG25" s="27">
        <v>26</v>
      </c>
      <c r="CK25" s="22" t="str">
        <f t="shared" si="0"/>
        <v>B</v>
      </c>
      <c r="CL25" s="22" t="str">
        <f t="shared" si="1"/>
        <v>A</v>
      </c>
      <c r="CM25" s="22" t="str">
        <f t="shared" si="2"/>
        <v>A</v>
      </c>
      <c r="CN25" s="22" t="str">
        <f t="shared" si="3"/>
        <v>A</v>
      </c>
    </row>
    <row r="26" spans="1:92" ht="25.15" customHeight="1" x14ac:dyDescent="0.25">
      <c r="A26" s="80" t="s">
        <v>26</v>
      </c>
      <c r="B26" s="81"/>
      <c r="C26" s="81"/>
      <c r="D26" s="81"/>
      <c r="E26" s="81"/>
      <c r="F26" s="81"/>
      <c r="G26" s="81"/>
      <c r="H26" s="81"/>
      <c r="I26" s="81"/>
      <c r="J26" s="82"/>
      <c r="K26" s="78" t="s">
        <v>61</v>
      </c>
      <c r="L26" s="78"/>
      <c r="M26" s="78"/>
      <c r="N26" s="78"/>
      <c r="O26" s="78"/>
      <c r="P26" s="78"/>
      <c r="Q26" s="78"/>
      <c r="R26" s="78"/>
      <c r="S26" s="78"/>
      <c r="T26" s="78"/>
      <c r="U26" s="78"/>
      <c r="V26" s="78"/>
      <c r="W26" s="78"/>
      <c r="X26" s="78"/>
      <c r="Y26" s="78"/>
      <c r="Z26" s="78"/>
      <c r="AA26" s="78"/>
      <c r="AB26" s="78"/>
      <c r="AC26" s="42" t="str">
        <f>IFERROR(IF(VLOOKUP($CJ$7,'1° PERIODO'!$A$7:$AT$36,CG26)="","-",VLOOKUP($CJ$7,'1° PERIODO'!$A$7:$AT$36,CG26)),"")</f>
        <v>B</v>
      </c>
      <c r="AD26" s="42"/>
      <c r="AE26" s="42"/>
      <c r="AF26" s="42" t="str">
        <f>IFERROR(IF(VLOOKUP($CJ$7,'1° PERIODO'!$A$7:$AT$36,CG26+1)="","",VLOOKUP($CJ$7,'1° PERIODO'!$A$7:$AT$36,CG26+1)),"")</f>
        <v/>
      </c>
      <c r="AG26" s="42"/>
      <c r="AH26" s="42"/>
      <c r="AI26" s="42"/>
      <c r="AJ26" s="42"/>
      <c r="AK26" s="42"/>
      <c r="AL26" s="42"/>
      <c r="AM26" s="42"/>
      <c r="AN26" s="42"/>
      <c r="AO26" s="42"/>
      <c r="AP26" s="42" t="str">
        <f>IFERROR(IF(VLOOKUP($CJ$7,'2° PERIODO'!$A$7:$BV$36,CG26)="","-",VLOOKUP($CJ$7,'2° PERIODO'!$A$7:$BV$36,CG26)),"")</f>
        <v>B</v>
      </c>
      <c r="AQ26" s="42"/>
      <c r="AR26" s="42"/>
      <c r="AS26" s="42" t="str">
        <f>IFERROR(IF(VLOOKUP($CJ$7,'2° PERIODO'!$A$7:$BV$36,CG26+1)="","",VLOOKUP($CJ$7,'2° PERIODO'!$A$7:$BV$36,CG26+1)),"")</f>
        <v/>
      </c>
      <c r="AT26" s="42"/>
      <c r="AU26" s="42"/>
      <c r="AV26" s="42"/>
      <c r="AW26" s="42"/>
      <c r="AX26" s="42"/>
      <c r="AY26" s="42"/>
      <c r="AZ26" s="42"/>
      <c r="BA26" s="42"/>
      <c r="BB26" s="42"/>
      <c r="BC26" s="42" t="str">
        <f>IFERROR(IF(VLOOKUP($CJ$7,'3° PERIODO'!$A$7:$BV$36,CG26)="","-",VLOOKUP($CJ$7,'3° PERIODO'!$A$7:$BV$36,CG26)),"")</f>
        <v>A</v>
      </c>
      <c r="BD26" s="42"/>
      <c r="BE26" s="42"/>
      <c r="BF26" s="42" t="str">
        <f>IFERROR(IF(VLOOKUP($CJ$7,'3° PERIODO'!$A$7:$BV$36,CG26+1)="","",VLOOKUP($CJ$7,'3° PERIODO'!$A$7:$BV$36,CG26+1)),"")</f>
        <v/>
      </c>
      <c r="BG26" s="42"/>
      <c r="BH26" s="42"/>
      <c r="BI26" s="42"/>
      <c r="BJ26" s="42"/>
      <c r="BK26" s="42"/>
      <c r="BL26" s="42"/>
      <c r="BM26" s="42"/>
      <c r="BN26" s="42"/>
      <c r="BO26" s="42"/>
      <c r="BP26" s="42" t="str">
        <f>IFERROR(IF(VLOOKUP($CJ$7,'4° PERIODO'!$A$7:$BV$36,CG26)="","-",VLOOKUP($CJ$7,'4° PERIODO'!$A$7:$BV$36,CG26)),"")</f>
        <v>A</v>
      </c>
      <c r="BQ26" s="42"/>
      <c r="BR26" s="42"/>
      <c r="BS26" s="42" t="str">
        <f>IFERROR(IF(VLOOKUP($CJ$7,'2° PERIODO'!$A$7:$BV$36,CG26+1)="","",VLOOKUP($CJ$7,'2° PERIODO'!$A$7:$BV$36,CG26+1)),"")</f>
        <v/>
      </c>
      <c r="BT26" s="42"/>
      <c r="BU26" s="42"/>
      <c r="BV26" s="42"/>
      <c r="BW26" s="42"/>
      <c r="BX26" s="42"/>
      <c r="BY26" s="42"/>
      <c r="BZ26" s="42"/>
      <c r="CA26" s="42"/>
      <c r="CB26" s="42"/>
      <c r="CC26" s="40" t="str" cm="1">
        <f t="array" ref="CC26">IFERROR(_xlfn.XLOOKUP(ROUND(AVERAGE(_xlfn.XLOOKUP(CK26:CN26,{"AD";"A";"B";"C"},{1;2;3;4},"")),0),{1;2;3;4},{"AD";"A";"B";"C"}),"-")</f>
        <v>B</v>
      </c>
      <c r="CD26" s="40"/>
      <c r="CE26" s="40"/>
      <c r="CF26" s="40"/>
      <c r="CG26" s="27">
        <v>27</v>
      </c>
      <c r="CK26" s="22" t="str">
        <f t="shared" si="0"/>
        <v>B</v>
      </c>
      <c r="CL26" s="22" t="str">
        <f t="shared" si="1"/>
        <v>B</v>
      </c>
      <c r="CM26" s="22" t="str">
        <f t="shared" si="2"/>
        <v>A</v>
      </c>
      <c r="CN26" s="22" t="str">
        <f t="shared" si="3"/>
        <v>A</v>
      </c>
    </row>
    <row r="27" spans="1:92" ht="25.15" customHeight="1" x14ac:dyDescent="0.25">
      <c r="A27" s="95"/>
      <c r="B27" s="96"/>
      <c r="C27" s="96"/>
      <c r="D27" s="96"/>
      <c r="E27" s="96"/>
      <c r="F27" s="96"/>
      <c r="G27" s="96"/>
      <c r="H27" s="96"/>
      <c r="I27" s="96"/>
      <c r="J27" s="97"/>
      <c r="K27" s="78" t="s">
        <v>27</v>
      </c>
      <c r="L27" s="78"/>
      <c r="M27" s="78"/>
      <c r="N27" s="78"/>
      <c r="O27" s="78"/>
      <c r="P27" s="78"/>
      <c r="Q27" s="78"/>
      <c r="R27" s="78"/>
      <c r="S27" s="78"/>
      <c r="T27" s="78"/>
      <c r="U27" s="78"/>
      <c r="V27" s="78"/>
      <c r="W27" s="78"/>
      <c r="X27" s="78"/>
      <c r="Y27" s="78"/>
      <c r="Z27" s="78"/>
      <c r="AA27" s="78"/>
      <c r="AB27" s="78"/>
      <c r="AC27" s="42" t="str">
        <f>IFERROR(IF(VLOOKUP($CJ$7,'1° PERIODO'!$A$7:$AT$36,CG27)="","-",VLOOKUP($CJ$7,'1° PERIODO'!$A$7:$AT$36,CG27)),"")</f>
        <v>B</v>
      </c>
      <c r="AD27" s="42"/>
      <c r="AE27" s="42"/>
      <c r="AF27" s="42" t="str">
        <f>IFERROR(IF(VLOOKUP($CJ$7,'1° PERIODO'!$A$7:$AT$36,CG27+1)="","",VLOOKUP($CJ$7,'1° PERIODO'!$A$7:$AT$36,CG27+1)),"")</f>
        <v/>
      </c>
      <c r="AG27" s="42"/>
      <c r="AH27" s="42"/>
      <c r="AI27" s="42"/>
      <c r="AJ27" s="42"/>
      <c r="AK27" s="42"/>
      <c r="AL27" s="42"/>
      <c r="AM27" s="42"/>
      <c r="AN27" s="42"/>
      <c r="AO27" s="42"/>
      <c r="AP27" s="42" t="str">
        <f>IFERROR(IF(VLOOKUP($CJ$7,'2° PERIODO'!$A$7:$BV$36,CG27)="","-",VLOOKUP($CJ$7,'2° PERIODO'!$A$7:$BV$36,CG27)),"")</f>
        <v>B</v>
      </c>
      <c r="AQ27" s="42"/>
      <c r="AR27" s="42"/>
      <c r="AS27" s="42" t="str">
        <f>IFERROR(IF(VLOOKUP($CJ$7,'2° PERIODO'!$A$7:$BV$36,CG27+1)="","",VLOOKUP($CJ$7,'2° PERIODO'!$A$7:$BV$36,CG27+1)),"")</f>
        <v/>
      </c>
      <c r="AT27" s="42"/>
      <c r="AU27" s="42"/>
      <c r="AV27" s="42"/>
      <c r="AW27" s="42"/>
      <c r="AX27" s="42"/>
      <c r="AY27" s="42"/>
      <c r="AZ27" s="42"/>
      <c r="BA27" s="42"/>
      <c r="BB27" s="42"/>
      <c r="BC27" s="42" t="str">
        <f>IFERROR(IF(VLOOKUP($CJ$7,'3° PERIODO'!$A$7:$BV$36,CG27)="","-",VLOOKUP($CJ$7,'3° PERIODO'!$A$7:$BV$36,CG27)),"")</f>
        <v>A</v>
      </c>
      <c r="BD27" s="42"/>
      <c r="BE27" s="42"/>
      <c r="BF27" s="42" t="str">
        <f>IFERROR(IF(VLOOKUP($CJ$7,'3° PERIODO'!$A$7:$BV$36,CG27+1)="","",VLOOKUP($CJ$7,'3° PERIODO'!$A$7:$BV$36,CG27+1)),"")</f>
        <v/>
      </c>
      <c r="BG27" s="42"/>
      <c r="BH27" s="42"/>
      <c r="BI27" s="42"/>
      <c r="BJ27" s="42"/>
      <c r="BK27" s="42"/>
      <c r="BL27" s="42"/>
      <c r="BM27" s="42"/>
      <c r="BN27" s="42"/>
      <c r="BO27" s="42"/>
      <c r="BP27" s="42" t="str">
        <f>IFERROR(IF(VLOOKUP($CJ$7,'4° PERIODO'!$A$7:$BV$36,CG27)="","-",VLOOKUP($CJ$7,'4° PERIODO'!$A$7:$BV$36,CG27)),"")</f>
        <v>A</v>
      </c>
      <c r="BQ27" s="42"/>
      <c r="BR27" s="42"/>
      <c r="BS27" s="42" t="str">
        <f>IFERROR(IF(VLOOKUP($CJ$7,'2° PERIODO'!$A$7:$BV$36,CG27+1)="","",VLOOKUP($CJ$7,'2° PERIODO'!$A$7:$BV$36,CG27+1)),"")</f>
        <v/>
      </c>
      <c r="BT27" s="42"/>
      <c r="BU27" s="42"/>
      <c r="BV27" s="42"/>
      <c r="BW27" s="42"/>
      <c r="BX27" s="42"/>
      <c r="BY27" s="42"/>
      <c r="BZ27" s="42"/>
      <c r="CA27" s="42"/>
      <c r="CB27" s="42"/>
      <c r="CC27" s="40" t="str" cm="1">
        <f t="array" ref="CC27">IFERROR(_xlfn.XLOOKUP(ROUND(AVERAGE(_xlfn.XLOOKUP(CK27:CN27,{"AD";"A";"B";"C"},{1;2;3;4},"")),0),{1;2;3;4},{"AD";"A";"B";"C"}),"-")</f>
        <v>B</v>
      </c>
      <c r="CD27" s="40"/>
      <c r="CE27" s="40"/>
      <c r="CF27" s="40"/>
      <c r="CG27" s="27">
        <v>29</v>
      </c>
      <c r="CK27" s="22" t="str">
        <f t="shared" si="0"/>
        <v>B</v>
      </c>
      <c r="CL27" s="22" t="str">
        <f t="shared" si="1"/>
        <v>B</v>
      </c>
      <c r="CM27" s="22" t="str">
        <f t="shared" si="2"/>
        <v>A</v>
      </c>
      <c r="CN27" s="22" t="str">
        <f t="shared" si="3"/>
        <v>A</v>
      </c>
    </row>
    <row r="28" spans="1:92" ht="25.15" customHeight="1" x14ac:dyDescent="0.25">
      <c r="A28" s="83"/>
      <c r="B28" s="84"/>
      <c r="C28" s="84"/>
      <c r="D28" s="84"/>
      <c r="E28" s="84"/>
      <c r="F28" s="84"/>
      <c r="G28" s="84"/>
      <c r="H28" s="84"/>
      <c r="I28" s="84"/>
      <c r="J28" s="85"/>
      <c r="K28" s="89" t="s">
        <v>56</v>
      </c>
      <c r="L28" s="90"/>
      <c r="M28" s="90"/>
      <c r="N28" s="90"/>
      <c r="O28" s="90"/>
      <c r="P28" s="90"/>
      <c r="Q28" s="90"/>
      <c r="R28" s="90"/>
      <c r="S28" s="90"/>
      <c r="T28" s="90"/>
      <c r="U28" s="90"/>
      <c r="V28" s="90"/>
      <c r="W28" s="90"/>
      <c r="X28" s="90"/>
      <c r="Y28" s="90"/>
      <c r="Z28" s="90"/>
      <c r="AA28" s="90"/>
      <c r="AB28" s="91"/>
      <c r="AC28" s="40" t="str">
        <f>IFERROR(IF(VLOOKUP($CJ$7,'1° PERIODO'!$A$7:$AT$36,CG28)="","-",VLOOKUP($CJ$7,'1° PERIODO'!$A$7:$AT$36,CG28)),"")</f>
        <v>B</v>
      </c>
      <c r="AD28" s="40"/>
      <c r="AE28" s="40"/>
      <c r="AF28" s="40"/>
      <c r="AG28" s="40"/>
      <c r="AH28" s="40"/>
      <c r="AI28" s="40"/>
      <c r="AJ28" s="40"/>
      <c r="AK28" s="40"/>
      <c r="AL28" s="40"/>
      <c r="AM28" s="40"/>
      <c r="AN28" s="40"/>
      <c r="AO28" s="40"/>
      <c r="AP28" s="40" t="str">
        <f>IFERROR(IF(VLOOKUP($CJ$7,'2° PERIODO'!$A$7:$BV$36,CG28)="","-",VLOOKUP($CJ$7,'2° PERIODO'!$A$7:$BV$36,CG28)),"")</f>
        <v>B</v>
      </c>
      <c r="AQ28" s="40"/>
      <c r="AR28" s="40"/>
      <c r="AS28" s="40"/>
      <c r="AT28" s="40"/>
      <c r="AU28" s="40"/>
      <c r="AV28" s="40"/>
      <c r="AW28" s="40"/>
      <c r="AX28" s="40"/>
      <c r="AY28" s="40"/>
      <c r="AZ28" s="40"/>
      <c r="BA28" s="40"/>
      <c r="BB28" s="40"/>
      <c r="BC28" s="40" t="str">
        <f>IFERROR(IF(VLOOKUP($CJ$7,'3° PERIODO'!$A$7:$BV$36,CG28)="","-",VLOOKUP($CJ$7,'3° PERIODO'!$A$7:$BV$36,CG28)),"")</f>
        <v>A</v>
      </c>
      <c r="BD28" s="40"/>
      <c r="BE28" s="40"/>
      <c r="BF28" s="40"/>
      <c r="BG28" s="40"/>
      <c r="BH28" s="40"/>
      <c r="BI28" s="40"/>
      <c r="BJ28" s="40"/>
      <c r="BK28" s="40"/>
      <c r="BL28" s="40"/>
      <c r="BM28" s="40"/>
      <c r="BN28" s="40"/>
      <c r="BO28" s="40"/>
      <c r="BP28" s="40" t="str">
        <f>IFERROR(IF(VLOOKUP($CJ$7,'4° PERIODO'!$A$7:$BV$36,CG28)="","-",VLOOKUP($CJ$7,'4° PERIODO'!$A$7:$BV$36,CG28)),"")</f>
        <v>A</v>
      </c>
      <c r="BQ28" s="40"/>
      <c r="BR28" s="40"/>
      <c r="BS28" s="40"/>
      <c r="BT28" s="40"/>
      <c r="BU28" s="40"/>
      <c r="BV28" s="40"/>
      <c r="BW28" s="40"/>
      <c r="BX28" s="40"/>
      <c r="BY28" s="40"/>
      <c r="BZ28" s="40"/>
      <c r="CA28" s="40"/>
      <c r="CB28" s="40"/>
      <c r="CC28" s="40" t="str" cm="1">
        <f t="array" ref="CC28">IFERROR(_xlfn.XLOOKUP(ROUND(AVERAGE(_xlfn.XLOOKUP(CK28:CN28,{"AD";"A";"B";"C"},{1;2;3;4},"")),0),{1;2;3;4},{"AD";"A";"B";"C"}),"-")</f>
        <v>B</v>
      </c>
      <c r="CD28" s="40"/>
      <c r="CE28" s="40"/>
      <c r="CF28" s="40"/>
      <c r="CG28" s="27">
        <v>31</v>
      </c>
      <c r="CK28" s="22" t="str">
        <f t="shared" si="0"/>
        <v>B</v>
      </c>
      <c r="CL28" s="22" t="str">
        <f t="shared" si="1"/>
        <v>B</v>
      </c>
      <c r="CM28" s="22" t="str">
        <f t="shared" si="2"/>
        <v>A</v>
      </c>
      <c r="CN28" s="22" t="str">
        <f t="shared" si="3"/>
        <v>A</v>
      </c>
    </row>
    <row r="29" spans="1:92" ht="25.15" customHeight="1" x14ac:dyDescent="0.25">
      <c r="A29" s="80" t="s">
        <v>28</v>
      </c>
      <c r="B29" s="81"/>
      <c r="C29" s="81"/>
      <c r="D29" s="81"/>
      <c r="E29" s="81"/>
      <c r="F29" s="81"/>
      <c r="G29" s="81"/>
      <c r="H29" s="81"/>
      <c r="I29" s="81"/>
      <c r="J29" s="82"/>
      <c r="K29" s="78" t="s">
        <v>62</v>
      </c>
      <c r="L29" s="78"/>
      <c r="M29" s="78"/>
      <c r="N29" s="78"/>
      <c r="O29" s="78"/>
      <c r="P29" s="78"/>
      <c r="Q29" s="78"/>
      <c r="R29" s="78"/>
      <c r="S29" s="78"/>
      <c r="T29" s="78"/>
      <c r="U29" s="78"/>
      <c r="V29" s="78"/>
      <c r="W29" s="78"/>
      <c r="X29" s="78"/>
      <c r="Y29" s="78"/>
      <c r="Z29" s="78"/>
      <c r="AA29" s="78"/>
      <c r="AB29" s="78"/>
      <c r="AC29" s="42" t="str">
        <f>IFERROR(IF(VLOOKUP($CJ$7,'1° PERIODO'!$A$7:$AT$36,CG29)="","-",VLOOKUP($CJ$7,'1° PERIODO'!$A$7:$AT$36,CG29)),"")</f>
        <v>B</v>
      </c>
      <c r="AD29" s="42"/>
      <c r="AE29" s="42"/>
      <c r="AF29" s="42" t="str">
        <f>IFERROR(IF(VLOOKUP($CJ$7,'1° PERIODO'!$A$7:$AT$36,CG29+1)="","",VLOOKUP($CJ$7,'1° PERIODO'!$A$7:$AT$36,CG29+1)),"")</f>
        <v/>
      </c>
      <c r="AG29" s="42"/>
      <c r="AH29" s="42"/>
      <c r="AI29" s="42"/>
      <c r="AJ29" s="42"/>
      <c r="AK29" s="42"/>
      <c r="AL29" s="42"/>
      <c r="AM29" s="42"/>
      <c r="AN29" s="42"/>
      <c r="AO29" s="42"/>
      <c r="AP29" s="42" t="str">
        <f>IFERROR(IF(VLOOKUP($CJ$7,'2° PERIODO'!$A$7:$BV$36,CG29)="","-",VLOOKUP($CJ$7,'2° PERIODO'!$A$7:$BV$36,CG29)),"")</f>
        <v>B</v>
      </c>
      <c r="AQ29" s="42"/>
      <c r="AR29" s="42"/>
      <c r="AS29" s="42" t="str">
        <f>IFERROR(IF(VLOOKUP($CJ$7,'2° PERIODO'!$A$7:$BV$36,CG29+1)="","",VLOOKUP($CJ$7,'2° PERIODO'!$A$7:$BV$36,CG29+1)),"")</f>
        <v/>
      </c>
      <c r="AT29" s="42"/>
      <c r="AU29" s="42"/>
      <c r="AV29" s="42"/>
      <c r="AW29" s="42"/>
      <c r="AX29" s="42"/>
      <c r="AY29" s="42"/>
      <c r="AZ29" s="42"/>
      <c r="BA29" s="42"/>
      <c r="BB29" s="42"/>
      <c r="BC29" s="42" t="str">
        <f>IFERROR(IF(VLOOKUP($CJ$7,'3° PERIODO'!$A$7:$BV$36,CG29)="","-",VLOOKUP($CJ$7,'3° PERIODO'!$A$7:$BV$36,CG29)),"")</f>
        <v>A</v>
      </c>
      <c r="BD29" s="42"/>
      <c r="BE29" s="42"/>
      <c r="BF29" s="42" t="str">
        <f>IFERROR(IF(VLOOKUP($CJ$7,'3° PERIODO'!$A$7:$BV$36,CG29+1)="","",VLOOKUP($CJ$7,'3° PERIODO'!$A$7:$BV$36,CG29+1)),"")</f>
        <v/>
      </c>
      <c r="BG29" s="42"/>
      <c r="BH29" s="42"/>
      <c r="BI29" s="42"/>
      <c r="BJ29" s="42"/>
      <c r="BK29" s="42"/>
      <c r="BL29" s="42"/>
      <c r="BM29" s="42"/>
      <c r="BN29" s="42"/>
      <c r="BO29" s="42"/>
      <c r="BP29" s="42" t="str">
        <f>IFERROR(IF(VLOOKUP($CJ$7,'4° PERIODO'!$A$7:$BV$36,CG29)="","-",VLOOKUP($CJ$7,'4° PERIODO'!$A$7:$BV$36,CG29)),"")</f>
        <v>A</v>
      </c>
      <c r="BQ29" s="42"/>
      <c r="BR29" s="42"/>
      <c r="BS29" s="42" t="str">
        <f>IFERROR(IF(VLOOKUP($CJ$7,'2° PERIODO'!$A$7:$BV$36,CG29+1)="","",VLOOKUP($CJ$7,'2° PERIODO'!$A$7:$BV$36,CG29+1)),"")</f>
        <v/>
      </c>
      <c r="BT29" s="42"/>
      <c r="BU29" s="42"/>
      <c r="BV29" s="42"/>
      <c r="BW29" s="42"/>
      <c r="BX29" s="42"/>
      <c r="BY29" s="42"/>
      <c r="BZ29" s="42"/>
      <c r="CA29" s="42"/>
      <c r="CB29" s="42"/>
      <c r="CC29" s="40" t="str" cm="1">
        <f t="array" ref="CC29">IFERROR(_xlfn.XLOOKUP(ROUND(AVERAGE(_xlfn.XLOOKUP(CK29:CN29,{"AD";"A";"B";"C"},{1;2;3;4},"")),0),{1;2;3;4},{"AD";"A";"B";"C"}),"-")</f>
        <v>B</v>
      </c>
      <c r="CD29" s="40"/>
      <c r="CE29" s="40"/>
      <c r="CF29" s="40"/>
      <c r="CG29" s="27">
        <v>32</v>
      </c>
      <c r="CK29" s="22" t="str">
        <f t="shared" si="0"/>
        <v>B</v>
      </c>
      <c r="CL29" s="22" t="str">
        <f t="shared" si="1"/>
        <v>B</v>
      </c>
      <c r="CM29" s="22" t="str">
        <f t="shared" si="2"/>
        <v>A</v>
      </c>
      <c r="CN29" s="22" t="str">
        <f t="shared" si="3"/>
        <v>A</v>
      </c>
    </row>
    <row r="30" spans="1:92" ht="25.15" customHeight="1" x14ac:dyDescent="0.25">
      <c r="A30" s="83"/>
      <c r="B30" s="84"/>
      <c r="C30" s="84"/>
      <c r="D30" s="84"/>
      <c r="E30" s="84"/>
      <c r="F30" s="84"/>
      <c r="G30" s="84"/>
      <c r="H30" s="84"/>
      <c r="I30" s="84"/>
      <c r="J30" s="85"/>
      <c r="K30" s="89" t="s">
        <v>56</v>
      </c>
      <c r="L30" s="90"/>
      <c r="M30" s="90"/>
      <c r="N30" s="90"/>
      <c r="O30" s="90"/>
      <c r="P30" s="90"/>
      <c r="Q30" s="90"/>
      <c r="R30" s="90"/>
      <c r="S30" s="90"/>
      <c r="T30" s="90"/>
      <c r="U30" s="90"/>
      <c r="V30" s="90"/>
      <c r="W30" s="90"/>
      <c r="X30" s="90"/>
      <c r="Y30" s="90"/>
      <c r="Z30" s="90"/>
      <c r="AA30" s="90"/>
      <c r="AB30" s="91"/>
      <c r="AC30" s="40" t="str">
        <f>IFERROR(IF(VLOOKUP($CJ$7,'1° PERIODO'!$A$7:$AT$36,CG30)="","-",VLOOKUP($CJ$7,'1° PERIODO'!$A$7:$AT$36,CG30)),"")</f>
        <v>B</v>
      </c>
      <c r="AD30" s="40"/>
      <c r="AE30" s="40"/>
      <c r="AF30" s="40"/>
      <c r="AG30" s="40"/>
      <c r="AH30" s="40"/>
      <c r="AI30" s="40"/>
      <c r="AJ30" s="40"/>
      <c r="AK30" s="40"/>
      <c r="AL30" s="40"/>
      <c r="AM30" s="40"/>
      <c r="AN30" s="40"/>
      <c r="AO30" s="40"/>
      <c r="AP30" s="40" t="str">
        <f>IFERROR(IF(VLOOKUP($CJ$7,'2° PERIODO'!$A$7:$BV$36,CG30)="","-",VLOOKUP($CJ$7,'2° PERIODO'!$A$7:$BV$36,CG30)),"")</f>
        <v>B</v>
      </c>
      <c r="AQ30" s="40"/>
      <c r="AR30" s="40"/>
      <c r="AS30" s="40"/>
      <c r="AT30" s="40"/>
      <c r="AU30" s="40"/>
      <c r="AV30" s="40"/>
      <c r="AW30" s="40"/>
      <c r="AX30" s="40"/>
      <c r="AY30" s="40"/>
      <c r="AZ30" s="40"/>
      <c r="BA30" s="40"/>
      <c r="BB30" s="40"/>
      <c r="BC30" s="40" t="str">
        <f>IFERROR(IF(VLOOKUP($CJ$7,'3° PERIODO'!$A$7:$BV$36,CG30)="","-",VLOOKUP($CJ$7,'3° PERIODO'!$A$7:$BV$36,CG30)),"")</f>
        <v>A</v>
      </c>
      <c r="BD30" s="40"/>
      <c r="BE30" s="40"/>
      <c r="BF30" s="40"/>
      <c r="BG30" s="40"/>
      <c r="BH30" s="40"/>
      <c r="BI30" s="40"/>
      <c r="BJ30" s="40"/>
      <c r="BK30" s="40"/>
      <c r="BL30" s="40"/>
      <c r="BM30" s="40"/>
      <c r="BN30" s="40"/>
      <c r="BO30" s="40"/>
      <c r="BP30" s="40" t="str">
        <f>IFERROR(IF(VLOOKUP($CJ$7,'4° PERIODO'!$A$7:$BV$36,CG30)="","-",VLOOKUP($CJ$7,'4° PERIODO'!$A$7:$BV$36,CG30)),"")</f>
        <v>A</v>
      </c>
      <c r="BQ30" s="40"/>
      <c r="BR30" s="40"/>
      <c r="BS30" s="40"/>
      <c r="BT30" s="40"/>
      <c r="BU30" s="40"/>
      <c r="BV30" s="40"/>
      <c r="BW30" s="40"/>
      <c r="BX30" s="40"/>
      <c r="BY30" s="40"/>
      <c r="BZ30" s="40"/>
      <c r="CA30" s="40"/>
      <c r="CB30" s="40"/>
      <c r="CC30" s="40" t="str" cm="1">
        <f t="array" ref="CC30">IFERROR(_xlfn.XLOOKUP(ROUND(AVERAGE(_xlfn.XLOOKUP(CK30:CN30,{"AD";"A";"B";"C"},{1;2;3;4},"")),0),{1;2;3;4},{"AD";"A";"B";"C"}),"-")</f>
        <v>B</v>
      </c>
      <c r="CD30" s="40"/>
      <c r="CE30" s="40"/>
      <c r="CF30" s="40"/>
      <c r="CG30" s="27">
        <v>34</v>
      </c>
      <c r="CK30" s="22" t="str">
        <f t="shared" si="0"/>
        <v>B</v>
      </c>
      <c r="CL30" s="22" t="str">
        <f t="shared" si="1"/>
        <v>B</v>
      </c>
      <c r="CM30" s="22" t="str">
        <f t="shared" si="2"/>
        <v>A</v>
      </c>
      <c r="CN30" s="22" t="str">
        <f t="shared" si="3"/>
        <v>A</v>
      </c>
    </row>
    <row r="31" spans="1:92" ht="25.15" customHeight="1" x14ac:dyDescent="0.25">
      <c r="A31" s="80" t="s">
        <v>29</v>
      </c>
      <c r="B31" s="81"/>
      <c r="C31" s="81"/>
      <c r="D31" s="81"/>
      <c r="E31" s="81"/>
      <c r="F31" s="81"/>
      <c r="G31" s="81"/>
      <c r="H31" s="81"/>
      <c r="I31" s="81"/>
      <c r="J31" s="82"/>
      <c r="K31" s="92" t="s">
        <v>63</v>
      </c>
      <c r="L31" s="93"/>
      <c r="M31" s="93"/>
      <c r="N31" s="93"/>
      <c r="O31" s="93"/>
      <c r="P31" s="93"/>
      <c r="Q31" s="93"/>
      <c r="R31" s="93"/>
      <c r="S31" s="93"/>
      <c r="T31" s="93"/>
      <c r="U31" s="93"/>
      <c r="V31" s="93"/>
      <c r="W31" s="93"/>
      <c r="X31" s="93"/>
      <c r="Y31" s="93"/>
      <c r="Z31" s="93"/>
      <c r="AA31" s="93"/>
      <c r="AB31" s="94"/>
      <c r="AC31" s="40" t="str">
        <f>IFERROR(IF(VLOOKUP($CJ$7,'1° PERIODO'!$A$7:$AT$36,CG31)="","-",VLOOKUP($CJ$7,'1° PERIODO'!$A$7:$AT$36,CG31)),"")</f>
        <v>-</v>
      </c>
      <c r="AD31" s="40"/>
      <c r="AE31" s="40"/>
      <c r="AF31" s="40" t="str">
        <f>IFERROR(IF(VLOOKUP($CJ$7,'1° PERIODO'!$A$7:$AT$36,CG31+1)="","",VLOOKUP($CJ$7,'1° PERIODO'!$A$7:$AT$36,CG31+1)),"")</f>
        <v/>
      </c>
      <c r="AG31" s="40"/>
      <c r="AH31" s="40"/>
      <c r="AI31" s="40"/>
      <c r="AJ31" s="40"/>
      <c r="AK31" s="40"/>
      <c r="AL31" s="40"/>
      <c r="AM31" s="40"/>
      <c r="AN31" s="40"/>
      <c r="AO31" s="40"/>
      <c r="AP31" s="40" t="str">
        <f>IFERROR(IF(VLOOKUP($CJ$7,'2° PERIODO'!$A$7:$BV$36,CG31)="","-",VLOOKUP($CJ$7,'2° PERIODO'!$A$7:$BV$36,CG31)),"")</f>
        <v>-</v>
      </c>
      <c r="AQ31" s="40"/>
      <c r="AR31" s="40"/>
      <c r="AS31" s="40" t="str">
        <f>IFERROR(IF(VLOOKUP($CJ$7,'2° PERIODO'!$A$7:$BV$36,CG31+1)="","",VLOOKUP($CJ$7,'2° PERIODO'!$A$7:$BV$36,CG31+1)),"")</f>
        <v/>
      </c>
      <c r="AT31" s="40"/>
      <c r="AU31" s="40"/>
      <c r="AV31" s="40"/>
      <c r="AW31" s="40"/>
      <c r="AX31" s="40"/>
      <c r="AY31" s="40"/>
      <c r="AZ31" s="40"/>
      <c r="BA31" s="40"/>
      <c r="BB31" s="40"/>
      <c r="BC31" s="40" t="str">
        <f>IFERROR(IF(VLOOKUP($CJ$7,'3° PERIODO'!$A$7:$BV$36,CG31)="","-",VLOOKUP($CJ$7,'3° PERIODO'!$A$7:$BV$36,CG31)),"")</f>
        <v>-</v>
      </c>
      <c r="BD31" s="40"/>
      <c r="BE31" s="40"/>
      <c r="BF31" s="40" t="str">
        <f>IFERROR(IF(VLOOKUP($CJ$7,'3° PERIODO'!$A$7:$BV$36,CG31+1)="","",VLOOKUP($CJ$7,'3° PERIODO'!$A$7:$BV$36,CG31+1)),"")</f>
        <v/>
      </c>
      <c r="BG31" s="40"/>
      <c r="BH31" s="40"/>
      <c r="BI31" s="40"/>
      <c r="BJ31" s="40"/>
      <c r="BK31" s="40"/>
      <c r="BL31" s="40"/>
      <c r="BM31" s="40"/>
      <c r="BN31" s="40"/>
      <c r="BO31" s="40"/>
      <c r="BP31" s="40" t="str">
        <f>IFERROR(IF(VLOOKUP($CJ$7,'4° PERIODO'!$A$7:$BV$36,CG31)="","-",VLOOKUP($CJ$7,'4° PERIODO'!$A$7:$BV$36,CG31)),"")</f>
        <v>-</v>
      </c>
      <c r="BQ31" s="40"/>
      <c r="BR31" s="40"/>
      <c r="BS31" s="40" t="str">
        <f>IFERROR(IF(VLOOKUP($CJ$7,'2° PERIODO'!$A$7:$BV$36,CG31+1)="","",VLOOKUP($CJ$7,'2° PERIODO'!$A$7:$BV$36,CG31+1)),"")</f>
        <v/>
      </c>
      <c r="BT31" s="40"/>
      <c r="BU31" s="40"/>
      <c r="BV31" s="40"/>
      <c r="BW31" s="40"/>
      <c r="BX31" s="40"/>
      <c r="BY31" s="40"/>
      <c r="BZ31" s="40"/>
      <c r="CA31" s="40"/>
      <c r="CB31" s="40"/>
      <c r="CC31" s="40" t="str" cm="1">
        <f t="array" ref="CC31">IFERROR(_xlfn.XLOOKUP(ROUND(AVERAGE(_xlfn.XLOOKUP(CK31:CN31,{"AD";"A";"B";"C"},{1;2;3;4},"")),0),{1;2;3;4},{"AD";"A";"B";"C"}),"-")</f>
        <v>-</v>
      </c>
      <c r="CD31" s="40"/>
      <c r="CE31" s="40"/>
      <c r="CF31" s="40"/>
      <c r="CG31" s="27">
        <v>35</v>
      </c>
      <c r="CK31" s="22" t="str">
        <f t="shared" si="0"/>
        <v>-</v>
      </c>
      <c r="CL31" s="22" t="str">
        <f t="shared" si="1"/>
        <v>-</v>
      </c>
      <c r="CM31" s="22" t="str">
        <f t="shared" si="2"/>
        <v>-</v>
      </c>
      <c r="CN31" s="22" t="str">
        <f t="shared" si="3"/>
        <v>-</v>
      </c>
    </row>
    <row r="32" spans="1:92" ht="25.15" customHeight="1" x14ac:dyDescent="0.25">
      <c r="A32" s="83"/>
      <c r="B32" s="84"/>
      <c r="C32" s="84"/>
      <c r="D32" s="84"/>
      <c r="E32" s="84"/>
      <c r="F32" s="84"/>
      <c r="G32" s="84"/>
      <c r="H32" s="84"/>
      <c r="I32" s="84"/>
      <c r="J32" s="85"/>
      <c r="K32" s="92" t="s">
        <v>30</v>
      </c>
      <c r="L32" s="93"/>
      <c r="M32" s="93"/>
      <c r="N32" s="93"/>
      <c r="O32" s="93"/>
      <c r="P32" s="93"/>
      <c r="Q32" s="93"/>
      <c r="R32" s="93"/>
      <c r="S32" s="93"/>
      <c r="T32" s="93"/>
      <c r="U32" s="93"/>
      <c r="V32" s="93"/>
      <c r="W32" s="93"/>
      <c r="X32" s="93"/>
      <c r="Y32" s="93"/>
      <c r="Z32" s="93"/>
      <c r="AA32" s="93"/>
      <c r="AB32" s="94"/>
      <c r="AC32" s="40" t="str">
        <f>IFERROR(IF(VLOOKUP($CJ$7,'1° PERIODO'!$A$7:$AT$36,CG32)="","-",VLOOKUP($CJ$7,'1° PERIODO'!$A$7:$AT$36,CG32)),"")</f>
        <v>-</v>
      </c>
      <c r="AD32" s="40"/>
      <c r="AE32" s="40"/>
      <c r="AF32" s="40" t="str">
        <f>IFERROR(IF(VLOOKUP($CJ$7,'1° PERIODO'!$A$7:$AT$36,CG32+1)="","",VLOOKUP($CJ$7,'1° PERIODO'!$A$7:$AT$36,CG32+1)),"")</f>
        <v/>
      </c>
      <c r="AG32" s="40"/>
      <c r="AH32" s="40"/>
      <c r="AI32" s="40"/>
      <c r="AJ32" s="40"/>
      <c r="AK32" s="40"/>
      <c r="AL32" s="40"/>
      <c r="AM32" s="40"/>
      <c r="AN32" s="40"/>
      <c r="AO32" s="40"/>
      <c r="AP32" s="40" t="str">
        <f>IFERROR(IF(VLOOKUP($CJ$7,'2° PERIODO'!$A$7:$BV$36,CG32)="","-",VLOOKUP($CJ$7,'2° PERIODO'!$A$7:$BV$36,CG32)),"")</f>
        <v>-</v>
      </c>
      <c r="AQ32" s="40"/>
      <c r="AR32" s="40"/>
      <c r="AS32" s="40" t="str">
        <f>IFERROR(IF(VLOOKUP($CJ$7,'2° PERIODO'!$A$7:$BV$36,CG32+1)="","",VLOOKUP($CJ$7,'2° PERIODO'!$A$7:$BV$36,CG32+1)),"")</f>
        <v/>
      </c>
      <c r="AT32" s="40"/>
      <c r="AU32" s="40"/>
      <c r="AV32" s="40"/>
      <c r="AW32" s="40"/>
      <c r="AX32" s="40"/>
      <c r="AY32" s="40"/>
      <c r="AZ32" s="40"/>
      <c r="BA32" s="40"/>
      <c r="BB32" s="40"/>
      <c r="BC32" s="40" t="str">
        <f>IFERROR(IF(VLOOKUP($CJ$7,'3° PERIODO'!$A$7:$BV$36,CG32)="","-",VLOOKUP($CJ$7,'3° PERIODO'!$A$7:$BV$36,CG32)),"")</f>
        <v>-</v>
      </c>
      <c r="BD32" s="40"/>
      <c r="BE32" s="40"/>
      <c r="BF32" s="40" t="str">
        <f>IFERROR(IF(VLOOKUP($CJ$7,'3° PERIODO'!$A$7:$BV$36,CG32+1)="","",VLOOKUP($CJ$7,'3° PERIODO'!$A$7:$BV$36,CG32+1)),"")</f>
        <v/>
      </c>
      <c r="BG32" s="40"/>
      <c r="BH32" s="40"/>
      <c r="BI32" s="40"/>
      <c r="BJ32" s="40"/>
      <c r="BK32" s="40"/>
      <c r="BL32" s="40"/>
      <c r="BM32" s="40"/>
      <c r="BN32" s="40"/>
      <c r="BO32" s="40"/>
      <c r="BP32" s="40" t="str">
        <f>IFERROR(IF(VLOOKUP($CJ$7,'4° PERIODO'!$A$7:$BV$36,CG32)="","-",VLOOKUP($CJ$7,'4° PERIODO'!$A$7:$BV$36,CG32)),"")</f>
        <v>-</v>
      </c>
      <c r="BQ32" s="40"/>
      <c r="BR32" s="40"/>
      <c r="BS32" s="40" t="str">
        <f>IFERROR(IF(VLOOKUP($CJ$7,'2° PERIODO'!$A$7:$BV$36,CG32+1)="","",VLOOKUP($CJ$7,'2° PERIODO'!$A$7:$BV$36,CG32+1)),"")</f>
        <v/>
      </c>
      <c r="BT32" s="40"/>
      <c r="BU32" s="40"/>
      <c r="BV32" s="40"/>
      <c r="BW32" s="40"/>
      <c r="BX32" s="40"/>
      <c r="BY32" s="40"/>
      <c r="BZ32" s="40"/>
      <c r="CA32" s="40"/>
      <c r="CB32" s="40"/>
      <c r="CC32" s="40" t="str" cm="1">
        <f t="array" ref="CC32">IFERROR(_xlfn.XLOOKUP(ROUND(AVERAGE(_xlfn.XLOOKUP(CK32:CN32,{"AD";"A";"B";"C"},{1;2;3;4},"")),0),{1;2;3;4},{"AD";"A";"B";"C"}),"-")</f>
        <v>-</v>
      </c>
      <c r="CD32" s="40"/>
      <c r="CE32" s="40"/>
      <c r="CF32" s="40"/>
      <c r="CG32" s="27">
        <v>37</v>
      </c>
      <c r="CK32" s="22" t="str">
        <f t="shared" si="0"/>
        <v>-</v>
      </c>
      <c r="CL32" s="22" t="str">
        <f t="shared" si="1"/>
        <v>-</v>
      </c>
      <c r="CM32" s="22" t="str">
        <f t="shared" si="2"/>
        <v>-</v>
      </c>
      <c r="CN32" s="22" t="str">
        <f t="shared" si="3"/>
        <v>-</v>
      </c>
    </row>
    <row r="33" spans="1:92" ht="25.15" customHeight="1" x14ac:dyDescent="0.25">
      <c r="A33" s="86" t="s">
        <v>31</v>
      </c>
      <c r="B33" s="87"/>
      <c r="C33" s="87"/>
      <c r="D33" s="87"/>
      <c r="E33" s="87"/>
      <c r="F33" s="87"/>
      <c r="G33" s="87"/>
      <c r="H33" s="87"/>
      <c r="I33" s="87"/>
      <c r="J33" s="88"/>
      <c r="K33" s="89" t="s">
        <v>56</v>
      </c>
      <c r="L33" s="90"/>
      <c r="M33" s="90"/>
      <c r="N33" s="90"/>
      <c r="O33" s="90"/>
      <c r="P33" s="90"/>
      <c r="Q33" s="90"/>
      <c r="R33" s="90"/>
      <c r="S33" s="90"/>
      <c r="T33" s="90"/>
      <c r="U33" s="90"/>
      <c r="V33" s="90"/>
      <c r="W33" s="90"/>
      <c r="X33" s="90"/>
      <c r="Y33" s="90"/>
      <c r="Z33" s="90"/>
      <c r="AA33" s="90"/>
      <c r="AB33" s="91"/>
      <c r="AC33" s="40" t="str">
        <f>IFERROR(IF(VLOOKUP($CJ$7,'1° PERIODO'!$A$7:$AT$36,CG33)="","-",VLOOKUP($CJ$7,'1° PERIODO'!$A$7:$AT$36,CG33)),"")</f>
        <v>-</v>
      </c>
      <c r="AD33" s="40"/>
      <c r="AE33" s="40"/>
      <c r="AF33" s="40"/>
      <c r="AG33" s="40"/>
      <c r="AH33" s="40"/>
      <c r="AI33" s="40"/>
      <c r="AJ33" s="40"/>
      <c r="AK33" s="40"/>
      <c r="AL33" s="40"/>
      <c r="AM33" s="40"/>
      <c r="AN33" s="40"/>
      <c r="AO33" s="40"/>
      <c r="AP33" s="40" t="str">
        <f>IFERROR(IF(VLOOKUP($CJ$7,'2° PERIODO'!$A$7:$BV$36,CG33)="","-",VLOOKUP($CJ$7,'2° PERIODO'!$A$7:$BV$36,CG33)),"")</f>
        <v>-</v>
      </c>
      <c r="AQ33" s="40"/>
      <c r="AR33" s="40"/>
      <c r="AS33" s="40"/>
      <c r="AT33" s="40"/>
      <c r="AU33" s="40"/>
      <c r="AV33" s="40"/>
      <c r="AW33" s="40"/>
      <c r="AX33" s="40"/>
      <c r="AY33" s="40"/>
      <c r="AZ33" s="40"/>
      <c r="BA33" s="40"/>
      <c r="BB33" s="40"/>
      <c r="BC33" s="40" t="str">
        <f>IFERROR(IF(VLOOKUP($CJ$7,'3° PERIODO'!$A$7:$BV$36,CG33)="","-",VLOOKUP($CJ$7,'3° PERIODO'!$A$7:$BV$36,CG33)),"")</f>
        <v>-</v>
      </c>
      <c r="BD33" s="40"/>
      <c r="BE33" s="40"/>
      <c r="BF33" s="40"/>
      <c r="BG33" s="40"/>
      <c r="BH33" s="40"/>
      <c r="BI33" s="40"/>
      <c r="BJ33" s="40"/>
      <c r="BK33" s="40"/>
      <c r="BL33" s="40"/>
      <c r="BM33" s="40"/>
      <c r="BN33" s="40"/>
      <c r="BO33" s="40"/>
      <c r="BP33" s="40" t="str">
        <f>IFERROR(IF(VLOOKUP($CJ$7,'4° PERIODO'!$A$7:$BV$36,CG33)="","-",VLOOKUP($CJ$7,'4° PERIODO'!$A$7:$BV$36,CG33)),"")</f>
        <v>-</v>
      </c>
      <c r="BQ33" s="40"/>
      <c r="BR33" s="40"/>
      <c r="BS33" s="40"/>
      <c r="BT33" s="40"/>
      <c r="BU33" s="40"/>
      <c r="BV33" s="40"/>
      <c r="BW33" s="40"/>
      <c r="BX33" s="40"/>
      <c r="BY33" s="40"/>
      <c r="BZ33" s="40"/>
      <c r="CA33" s="40"/>
      <c r="CB33" s="40"/>
      <c r="CC33" s="40" t="str" cm="1">
        <f t="array" ref="CC33">IFERROR(_xlfn.XLOOKUP(ROUND(AVERAGE(_xlfn.XLOOKUP(CK33:CN33,{"AD";"A";"B";"C"},{1;2;3;4},"")),0),{1;2;3;4},{"AD";"A";"B";"C"}),"-")</f>
        <v>-</v>
      </c>
      <c r="CD33" s="40"/>
      <c r="CE33" s="40"/>
      <c r="CF33" s="40"/>
      <c r="CG33" s="27">
        <v>39</v>
      </c>
      <c r="CK33" s="22" t="str">
        <f t="shared" si="0"/>
        <v>-</v>
      </c>
      <c r="CL33" s="22" t="str">
        <f t="shared" si="1"/>
        <v>-</v>
      </c>
      <c r="CM33" s="22" t="str">
        <f t="shared" si="2"/>
        <v>-</v>
      </c>
      <c r="CN33" s="22" t="str">
        <f t="shared" si="3"/>
        <v>-</v>
      </c>
    </row>
    <row r="35" spans="1:92" x14ac:dyDescent="0.25">
      <c r="AD35" s="43" t="s">
        <v>49</v>
      </c>
      <c r="AE35" s="43"/>
      <c r="AF35" s="43"/>
      <c r="AG35" s="43"/>
      <c r="AH35" s="43"/>
      <c r="AI35" s="42" t="s">
        <v>50</v>
      </c>
      <c r="AJ35" s="42"/>
      <c r="AK35" s="42"/>
      <c r="AL35" s="42"/>
      <c r="AM35" s="42"/>
      <c r="AN35" s="42"/>
      <c r="AO35" s="42"/>
      <c r="AP35" s="42"/>
      <c r="AQ35" s="42"/>
      <c r="AR35" s="42"/>
      <c r="AS35" s="42"/>
      <c r="AT35" s="42"/>
      <c r="AU35" s="42"/>
      <c r="AV35" s="42"/>
      <c r="AW35" s="42"/>
      <c r="AX35" s="42"/>
      <c r="AY35" s="42"/>
      <c r="AZ35" s="42"/>
      <c r="BA35" s="42"/>
      <c r="BB35" s="42"/>
      <c r="BC35" s="42"/>
    </row>
    <row r="36" spans="1:92" x14ac:dyDescent="0.25">
      <c r="AD36" s="43" t="s">
        <v>9</v>
      </c>
      <c r="AE36" s="43"/>
      <c r="AF36" s="43"/>
      <c r="AG36" s="43"/>
      <c r="AH36" s="43"/>
      <c r="AI36" s="42" t="s">
        <v>51</v>
      </c>
      <c r="AJ36" s="42"/>
      <c r="AK36" s="42"/>
      <c r="AL36" s="42"/>
      <c r="AM36" s="42"/>
      <c r="AN36" s="42"/>
      <c r="AO36" s="42"/>
      <c r="AP36" s="42"/>
      <c r="AQ36" s="42"/>
      <c r="AR36" s="42"/>
      <c r="AS36" s="42"/>
      <c r="AT36" s="42"/>
      <c r="AU36" s="42"/>
      <c r="AV36" s="42"/>
      <c r="AW36" s="42"/>
      <c r="AX36" s="42"/>
      <c r="AY36" s="42"/>
      <c r="AZ36" s="42"/>
      <c r="BA36" s="42"/>
      <c r="BB36" s="42"/>
      <c r="BC36" s="42"/>
    </row>
    <row r="37" spans="1:92" x14ac:dyDescent="0.25">
      <c r="AD37" s="43" t="s">
        <v>52</v>
      </c>
      <c r="AE37" s="43"/>
      <c r="AF37" s="43"/>
      <c r="AG37" s="43"/>
      <c r="AH37" s="43"/>
      <c r="AI37" s="42" t="s">
        <v>53</v>
      </c>
      <c r="AJ37" s="42"/>
      <c r="AK37" s="42"/>
      <c r="AL37" s="42"/>
      <c r="AM37" s="42"/>
      <c r="AN37" s="42"/>
      <c r="AO37" s="42"/>
      <c r="AP37" s="42"/>
      <c r="AQ37" s="42"/>
      <c r="AR37" s="42"/>
      <c r="AS37" s="42"/>
      <c r="AT37" s="42"/>
      <c r="AU37" s="42"/>
      <c r="AV37" s="42"/>
      <c r="AW37" s="42"/>
      <c r="AX37" s="42"/>
      <c r="AY37" s="42"/>
      <c r="AZ37" s="42"/>
      <c r="BA37" s="42"/>
      <c r="BB37" s="42"/>
      <c r="BC37" s="42"/>
    </row>
    <row r="38" spans="1:92" x14ac:dyDescent="0.25">
      <c r="AD38" s="43" t="s">
        <v>39</v>
      </c>
      <c r="AE38" s="43"/>
      <c r="AF38" s="43"/>
      <c r="AG38" s="43"/>
      <c r="AH38" s="43"/>
      <c r="AI38" s="42" t="s">
        <v>54</v>
      </c>
      <c r="AJ38" s="42"/>
      <c r="AK38" s="42"/>
      <c r="AL38" s="42"/>
      <c r="AM38" s="42"/>
      <c r="AN38" s="42"/>
      <c r="AO38" s="42"/>
      <c r="AP38" s="42"/>
      <c r="AQ38" s="42"/>
      <c r="AR38" s="42"/>
      <c r="AS38" s="42"/>
      <c r="AT38" s="42"/>
      <c r="AU38" s="42"/>
      <c r="AV38" s="42"/>
      <c r="AW38" s="42"/>
      <c r="AX38" s="42"/>
      <c r="AY38" s="42"/>
      <c r="AZ38" s="42"/>
      <c r="BA38" s="42"/>
      <c r="BB38" s="42"/>
      <c r="BC38" s="42"/>
    </row>
    <row r="39" spans="1:92" ht="16.5" x14ac:dyDescent="0.25">
      <c r="A39" s="73" t="s">
        <v>55</v>
      </c>
      <c r="B39" s="73"/>
      <c r="C39" s="73"/>
      <c r="D39" s="73"/>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73"/>
      <c r="BA39" s="73"/>
      <c r="BB39" s="73"/>
      <c r="BC39" s="73"/>
      <c r="BD39" s="73"/>
      <c r="BE39" s="73"/>
      <c r="BF39" s="73"/>
      <c r="BG39" s="73"/>
      <c r="BH39" s="73"/>
      <c r="BI39" s="73"/>
      <c r="BJ39" s="73"/>
      <c r="BK39" s="73"/>
      <c r="BL39" s="73"/>
      <c r="BM39" s="73"/>
      <c r="BN39" s="73"/>
      <c r="BO39" s="73"/>
      <c r="BP39" s="73"/>
      <c r="BQ39" s="73"/>
      <c r="BR39" s="73"/>
      <c r="BS39" s="73"/>
      <c r="BT39" s="73"/>
      <c r="BU39" s="73"/>
      <c r="BV39" s="73"/>
      <c r="BW39" s="73"/>
      <c r="BX39" s="73"/>
      <c r="BY39" s="73"/>
      <c r="BZ39" s="73"/>
      <c r="CA39" s="73"/>
      <c r="CB39" s="73"/>
      <c r="CC39" s="73"/>
      <c r="CD39" s="73"/>
      <c r="CE39" s="73"/>
      <c r="CF39" s="73"/>
    </row>
    <row r="41" spans="1:92" x14ac:dyDescent="0.25">
      <c r="A41" s="43" t="s">
        <v>32</v>
      </c>
      <c r="B41" s="43"/>
      <c r="C41" s="43"/>
      <c r="D41" s="43"/>
      <c r="E41" s="43"/>
      <c r="F41" s="43"/>
      <c r="G41" s="43"/>
      <c r="H41" s="43"/>
      <c r="I41" s="43" t="s">
        <v>34</v>
      </c>
      <c r="J41" s="43"/>
      <c r="K41" s="43"/>
      <c r="L41" s="43"/>
      <c r="M41" s="43"/>
      <c r="N41" s="43"/>
      <c r="O41" s="43"/>
      <c r="P41" s="43"/>
      <c r="Q41" s="43"/>
      <c r="R41" s="43"/>
      <c r="S41" s="43"/>
      <c r="T41" s="43"/>
      <c r="U41" s="43"/>
      <c r="V41" s="43"/>
      <c r="W41" s="43"/>
      <c r="X41" s="43"/>
      <c r="Y41" s="43" t="s">
        <v>33</v>
      </c>
      <c r="Z41" s="43"/>
      <c r="AA41" s="43"/>
      <c r="AB41" s="43"/>
      <c r="AC41" s="43"/>
      <c r="AD41" s="43"/>
      <c r="AE41" s="43"/>
      <c r="AF41" s="43"/>
      <c r="AG41" s="43"/>
      <c r="AH41" s="43"/>
      <c r="AI41" s="43"/>
      <c r="AJ41" s="43"/>
      <c r="AK41" s="43"/>
      <c r="AL41" s="43"/>
      <c r="AM41" s="43"/>
      <c r="AN41" s="43"/>
      <c r="AO41" s="42"/>
      <c r="AP41" s="42"/>
      <c r="AQ41" s="42"/>
      <c r="AR41" s="42"/>
      <c r="AS41" s="42"/>
      <c r="AT41" s="42"/>
      <c r="AU41" s="42"/>
      <c r="AV41" s="42"/>
      <c r="AW41" s="42"/>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c r="BX41" s="42"/>
      <c r="BY41" s="42"/>
      <c r="BZ41" s="42"/>
      <c r="CA41" s="42"/>
      <c r="CB41" s="42"/>
      <c r="CC41" s="42"/>
      <c r="CD41" s="42"/>
      <c r="CE41" s="42"/>
      <c r="CF41" s="42"/>
      <c r="CG41" s="18">
        <v>43</v>
      </c>
    </row>
    <row r="42" spans="1:92" x14ac:dyDescent="0.25">
      <c r="A42" s="43"/>
      <c r="B42" s="43"/>
      <c r="C42" s="43"/>
      <c r="D42" s="43"/>
      <c r="E42" s="43"/>
      <c r="F42" s="43"/>
      <c r="G42" s="43"/>
      <c r="H42" s="43"/>
      <c r="I42" s="79" t="s">
        <v>36</v>
      </c>
      <c r="J42" s="79"/>
      <c r="K42" s="79"/>
      <c r="L42" s="79"/>
      <c r="M42" s="79"/>
      <c r="N42" s="79"/>
      <c r="O42" s="79"/>
      <c r="P42" s="79"/>
      <c r="Q42" s="79" t="s">
        <v>35</v>
      </c>
      <c r="R42" s="79"/>
      <c r="S42" s="79"/>
      <c r="T42" s="79"/>
      <c r="U42" s="79"/>
      <c r="V42" s="79"/>
      <c r="W42" s="79"/>
      <c r="X42" s="79"/>
      <c r="Y42" s="79" t="s">
        <v>36</v>
      </c>
      <c r="Z42" s="79"/>
      <c r="AA42" s="79"/>
      <c r="AB42" s="79"/>
      <c r="AC42" s="79"/>
      <c r="AD42" s="79"/>
      <c r="AE42" s="79"/>
      <c r="AF42" s="79"/>
      <c r="AG42" s="79" t="s">
        <v>35</v>
      </c>
      <c r="AH42" s="79"/>
      <c r="AI42" s="79"/>
      <c r="AJ42" s="79"/>
      <c r="AK42" s="79"/>
      <c r="AL42" s="79"/>
      <c r="AM42" s="79"/>
      <c r="AN42" s="79"/>
      <c r="AO42" s="42"/>
      <c r="AP42" s="42"/>
      <c r="AQ42" s="42"/>
      <c r="AR42" s="42"/>
      <c r="AS42" s="42"/>
      <c r="AT42" s="42"/>
      <c r="AU42" s="42"/>
      <c r="AV42" s="42"/>
      <c r="AW42" s="42"/>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c r="BX42" s="42"/>
      <c r="BY42" s="42"/>
      <c r="BZ42" s="42"/>
      <c r="CA42" s="42"/>
      <c r="CB42" s="42"/>
      <c r="CC42" s="42"/>
      <c r="CD42" s="42"/>
      <c r="CE42" s="42"/>
      <c r="CF42" s="42"/>
      <c r="CG42" s="18">
        <v>44</v>
      </c>
    </row>
    <row r="43" spans="1:92" x14ac:dyDescent="0.25">
      <c r="A43" s="43" t="s">
        <v>16</v>
      </c>
      <c r="B43" s="43"/>
      <c r="C43" s="43"/>
      <c r="D43" s="43"/>
      <c r="E43" s="43"/>
      <c r="F43" s="43"/>
      <c r="G43" s="43"/>
      <c r="H43" s="43"/>
      <c r="I43" s="42" t="str">
        <f>IFERROR(IF(VLOOKUP($CJ$7,'1° PERIODO'!$A$7:$AT$36,$CG$41)=0,"-",VLOOKUP($CJ$7,'1° PERIODO'!$A$7:$AT$36,$CG$41)),"")</f>
        <v>-</v>
      </c>
      <c r="J43" s="42"/>
      <c r="K43" s="42"/>
      <c r="L43" s="42"/>
      <c r="M43" s="42"/>
      <c r="N43" s="42"/>
      <c r="O43" s="42"/>
      <c r="P43" s="42"/>
      <c r="Q43" s="42" t="str">
        <f>IFERROR(IF(VLOOKUP($CJ$7,'1° PERIODO'!$A$7:$AT$36,$CG$42)=0,"-",VLOOKUP($CJ$7,'1° PERIODO'!$A$7:$AT$36,$CG$42)),"")</f>
        <v>-</v>
      </c>
      <c r="R43" s="42"/>
      <c r="S43" s="42"/>
      <c r="T43" s="42"/>
      <c r="U43" s="42"/>
      <c r="V43" s="42"/>
      <c r="W43" s="42"/>
      <c r="X43" s="42"/>
      <c r="Y43" s="42" t="str">
        <f>IFERROR(IF(VLOOKUP($CJ$7,'1° PERIODO'!$A$7:$AT$36,$CG$43)=0,"-",VLOOKUP($CJ$7,'1° PERIODO'!$A$7:$AT$36,$CG$43)),"")</f>
        <v>-</v>
      </c>
      <c r="Z43" s="42"/>
      <c r="AA43" s="42"/>
      <c r="AB43" s="42"/>
      <c r="AC43" s="42"/>
      <c r="AD43" s="42"/>
      <c r="AE43" s="42"/>
      <c r="AF43" s="42"/>
      <c r="AG43" s="42">
        <f>IFERROR(IF(VLOOKUP($CJ$7,'1° PERIODO'!$A$7:$AT$36,$CG$44)=0,"-",VLOOKUP($CJ$7,'1° PERIODO'!$A$7:$AT$36,$CG$44)),"")</f>
        <v>6</v>
      </c>
      <c r="AH43" s="42"/>
      <c r="AI43" s="42"/>
      <c r="AJ43" s="42"/>
      <c r="AK43" s="42"/>
      <c r="AL43" s="42"/>
      <c r="AM43" s="42"/>
      <c r="AN43" s="42"/>
      <c r="AO43" s="42"/>
      <c r="AP43" s="42"/>
      <c r="AQ43" s="42"/>
      <c r="AR43" s="42"/>
      <c r="AS43" s="42"/>
      <c r="AT43" s="42"/>
      <c r="AU43" s="42"/>
      <c r="AV43" s="42"/>
      <c r="AW43" s="42"/>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c r="BX43" s="42"/>
      <c r="BY43" s="42"/>
      <c r="BZ43" s="42"/>
      <c r="CA43" s="42"/>
      <c r="CB43" s="42"/>
      <c r="CC43" s="42"/>
      <c r="CD43" s="42"/>
      <c r="CE43" s="42"/>
      <c r="CF43" s="42"/>
      <c r="CG43" s="18">
        <v>45</v>
      </c>
    </row>
    <row r="44" spans="1:92" x14ac:dyDescent="0.25">
      <c r="A44" s="43" t="s">
        <v>17</v>
      </c>
      <c r="B44" s="43"/>
      <c r="C44" s="43"/>
      <c r="D44" s="43"/>
      <c r="E44" s="43"/>
      <c r="F44" s="43"/>
      <c r="G44" s="43"/>
      <c r="H44" s="43"/>
      <c r="I44" s="42" t="str">
        <f>IFERROR(IF(VLOOKUP($CJ$7,'2° PERIODO'!$A$7:$BV$36,$CG$41)=VLOOKUP($CJ$7,'1° PERIODO'!$A$7:$AT$36,$CG$41),"-",VLOOKUP($CJ$7,'2° PERIODO'!$A$7:$BV$36,$CG$41)-VLOOKUP($CJ$7,'1° PERIODO'!$A$7:$AT$36,$CG$41)),"")</f>
        <v>-</v>
      </c>
      <c r="J44" s="42"/>
      <c r="K44" s="42"/>
      <c r="L44" s="42"/>
      <c r="M44" s="42"/>
      <c r="N44" s="42"/>
      <c r="O44" s="42"/>
      <c r="P44" s="42"/>
      <c r="Q44" s="42" t="str">
        <f>IFERROR(IF(VLOOKUP($CJ$7,'2° PERIODO'!$A$7:$BV$36,$CG$42)=VLOOKUP($CJ$7,'1° PERIODO'!$A$7:$AT$36,$CG$42),"-",VLOOKUP($CJ$7,'2° PERIODO'!$A$7:$BV$36,$CG$42)-VLOOKUP($CJ$7,'1° PERIODO'!$A$7:$AT$36,$CG$42)),"")</f>
        <v>-</v>
      </c>
      <c r="R44" s="42"/>
      <c r="S44" s="42"/>
      <c r="T44" s="42"/>
      <c r="U44" s="42"/>
      <c r="V44" s="42"/>
      <c r="W44" s="42"/>
      <c r="X44" s="42"/>
      <c r="Y44" s="42" t="str">
        <f>IFERROR(IF(VLOOKUP($CJ$7,'2° PERIODO'!$A$7:$BV$36,$CG$43)=VLOOKUP($CJ$7,'1° PERIODO'!$A$7:$AT$36,$CG$43),"-",VLOOKUP($CJ$7,'2° PERIODO'!$A$7:$BV$36,$CG$43)-VLOOKUP($CJ$7,'1° PERIODO'!$A$7:$AT$36,$CG$43)),"")</f>
        <v>-</v>
      </c>
      <c r="Z44" s="42"/>
      <c r="AA44" s="42"/>
      <c r="AB44" s="42"/>
      <c r="AC44" s="42"/>
      <c r="AD44" s="42"/>
      <c r="AE44" s="42"/>
      <c r="AF44" s="42"/>
      <c r="AG44" s="42">
        <f>IFERROR(IF(VLOOKUP($CJ$7,'2° PERIODO'!$A$7:$BV$36,$CG$44)=VLOOKUP($CJ$7,'1° PERIODO'!$A$7:$AT$36,$CG$44),"-",VLOOKUP($CJ$7,'2° PERIODO'!$A$7:$BV$36,$CG$44)-VLOOKUP($CJ$7,'1° PERIODO'!$A$7:$AT$36,$CG$44)),"")</f>
        <v>11</v>
      </c>
      <c r="AH44" s="42"/>
      <c r="AI44" s="42"/>
      <c r="AJ44" s="42"/>
      <c r="AK44" s="42"/>
      <c r="AL44" s="42"/>
      <c r="AM44" s="42"/>
      <c r="AN44" s="42"/>
      <c r="AO44" s="42"/>
      <c r="AP44" s="42"/>
      <c r="AQ44" s="42"/>
      <c r="AR44" s="42"/>
      <c r="AS44" s="42"/>
      <c r="AT44" s="42"/>
      <c r="AU44" s="42"/>
      <c r="AV44" s="42"/>
      <c r="AW44" s="42"/>
      <c r="AX44" s="42"/>
      <c r="AY44" s="42"/>
      <c r="AZ44" s="42"/>
      <c r="BA44" s="42"/>
      <c r="BB44" s="42"/>
      <c r="BC44" s="42"/>
      <c r="BD44" s="42"/>
      <c r="BE44" s="42"/>
      <c r="BF44" s="42"/>
      <c r="BG44" s="42"/>
      <c r="BH44" s="42"/>
      <c r="BI44" s="42"/>
      <c r="BJ44" s="42"/>
      <c r="BK44" s="42"/>
      <c r="BL44" s="42"/>
      <c r="BM44" s="42"/>
      <c r="BN44" s="42"/>
      <c r="BO44" s="42"/>
      <c r="BP44" s="42"/>
      <c r="BQ44" s="42"/>
      <c r="BR44" s="42"/>
      <c r="BS44" s="42"/>
      <c r="BT44" s="42"/>
      <c r="BU44" s="42"/>
      <c r="BV44" s="42"/>
      <c r="BW44" s="42"/>
      <c r="BX44" s="42"/>
      <c r="BY44" s="42"/>
      <c r="BZ44" s="42"/>
      <c r="CA44" s="42"/>
      <c r="CB44" s="42"/>
      <c r="CC44" s="42"/>
      <c r="CD44" s="42"/>
      <c r="CE44" s="42"/>
      <c r="CF44" s="42"/>
      <c r="CG44" s="18">
        <v>46</v>
      </c>
    </row>
    <row r="45" spans="1:92" x14ac:dyDescent="0.25">
      <c r="A45" s="43" t="s">
        <v>18</v>
      </c>
      <c r="B45" s="43"/>
      <c r="C45" s="43"/>
      <c r="D45" s="43"/>
      <c r="E45" s="43"/>
      <c r="F45" s="43"/>
      <c r="G45" s="43"/>
      <c r="H45" s="43"/>
      <c r="I45" s="42" t="str">
        <f>IFERROR(IF(VLOOKUP($CJ$7,'3° PERIODO'!$A$7:$BV$36,$CG$41)=VLOOKUP($CJ$7,'2° PERIODO'!$A$7:$BV$36,$CG$41),"-",VLOOKUP($CJ$7,'3° PERIODO'!$A$7:$BV$36,$CG$41)-VLOOKUP($CJ$7,'2° PERIODO'!$A$7:$BV$36,$CG$41)),"")</f>
        <v>-</v>
      </c>
      <c r="J45" s="42"/>
      <c r="K45" s="42"/>
      <c r="L45" s="42"/>
      <c r="M45" s="42"/>
      <c r="N45" s="42"/>
      <c r="O45" s="42"/>
      <c r="P45" s="42"/>
      <c r="Q45" s="42" t="str">
        <f>IFERROR(IF(VLOOKUP($CJ$7,'3° PERIODO'!$A$7:$BV$36,$CG$42)=VLOOKUP($CJ$7,'2° PERIODO'!$A$7:$BV$36,$CG$42),"-",VLOOKUP($CJ$7,'3° PERIODO'!$A$7:$BV$36,$CG$42)-VLOOKUP($CJ$7,'2° PERIODO'!$A$7:$BV$36,$CG$42)),"")</f>
        <v>-</v>
      </c>
      <c r="R45" s="42"/>
      <c r="S45" s="42"/>
      <c r="T45" s="42"/>
      <c r="U45" s="42"/>
      <c r="V45" s="42"/>
      <c r="W45" s="42"/>
      <c r="X45" s="42"/>
      <c r="Y45" s="42">
        <f>IFERROR(IF(VLOOKUP($CJ$7,'3° PERIODO'!$A$7:$BV$36,$CG$43)=VLOOKUP($CJ$7,'2° PERIODO'!$A$7:$BV$36,$CG$43),"-",VLOOKUP($CJ$7,'3° PERIODO'!$A$7:$BV$36,$CG$43)-VLOOKUP($CJ$7,'2° PERIODO'!$A$7:$BV$36,$CG$43)),"")</f>
        <v>3</v>
      </c>
      <c r="Z45" s="42"/>
      <c r="AA45" s="42"/>
      <c r="AB45" s="42"/>
      <c r="AC45" s="42"/>
      <c r="AD45" s="42"/>
      <c r="AE45" s="42"/>
      <c r="AF45" s="42"/>
      <c r="AG45" s="42">
        <f>IFERROR(IF(VLOOKUP($CJ$7,'3° PERIODO'!$A$7:$BV$36,$CG$44)=VLOOKUP($CJ$7,'2° PERIODO'!$A$7:$BV$36,$CG$44),"-",VLOOKUP($CJ$7,'3° PERIODO'!$A$7:$BV$36,$CG$44)-VLOOKUP($CJ$7,'2° PERIODO'!$A$7:$BV$36,$CG$44)),"")</f>
        <v>-3</v>
      </c>
      <c r="AH45" s="42"/>
      <c r="AI45" s="42"/>
      <c r="AJ45" s="42"/>
      <c r="AK45" s="42"/>
      <c r="AL45" s="42"/>
      <c r="AM45" s="42"/>
      <c r="AN45" s="42"/>
      <c r="AO45" s="42"/>
      <c r="AP45" s="42"/>
      <c r="AQ45" s="42"/>
      <c r="AR45" s="42"/>
      <c r="AS45" s="42"/>
      <c r="AT45" s="42"/>
      <c r="AU45" s="42"/>
      <c r="AV45" s="42"/>
      <c r="AW45" s="42"/>
      <c r="AX45" s="42"/>
      <c r="AY45" s="42"/>
      <c r="AZ45" s="42"/>
      <c r="BA45" s="42"/>
      <c r="BB45" s="42"/>
      <c r="BC45" s="42"/>
      <c r="BD45" s="42"/>
      <c r="BE45" s="42"/>
      <c r="BF45" s="42"/>
      <c r="BG45" s="42"/>
      <c r="BH45" s="42"/>
      <c r="BI45" s="42"/>
      <c r="BJ45" s="42"/>
      <c r="BK45" s="42"/>
      <c r="BL45" s="42"/>
      <c r="BM45" s="42"/>
      <c r="BN45" s="42"/>
      <c r="BO45" s="42"/>
      <c r="BP45" s="42"/>
      <c r="BQ45" s="42"/>
      <c r="BR45" s="42"/>
      <c r="BS45" s="42"/>
      <c r="BT45" s="42"/>
      <c r="BU45" s="42"/>
      <c r="BV45" s="42"/>
      <c r="BW45" s="42"/>
      <c r="BX45" s="42"/>
      <c r="BY45" s="42"/>
      <c r="BZ45" s="42"/>
      <c r="CA45" s="42"/>
      <c r="CB45" s="42"/>
      <c r="CC45" s="42"/>
      <c r="CD45" s="42"/>
      <c r="CE45" s="42"/>
      <c r="CF45" s="42"/>
    </row>
    <row r="46" spans="1:92" x14ac:dyDescent="0.25">
      <c r="A46" s="43" t="s">
        <v>20</v>
      </c>
      <c r="B46" s="43"/>
      <c r="C46" s="43"/>
      <c r="D46" s="43"/>
      <c r="E46" s="43"/>
      <c r="F46" s="43"/>
      <c r="G46" s="43"/>
      <c r="H46" s="43"/>
      <c r="I46" s="42" t="str">
        <f>IFERROR(IF(VLOOKUP($CJ$7,'4° PERIODO'!$A$7:$BV$36,$CG$41)=VLOOKUP($CJ$7,'3° PERIODO'!$A$7:$BV$36,$CG$41),"-",VLOOKUP($CJ$7,'4° PERIODO'!$A$7:$BV$36,$CG$41)-VLOOKUP($CJ$7,'3° PERIODO'!$A$7:$BV$36,$CG$41)),"")</f>
        <v>-</v>
      </c>
      <c r="J46" s="42"/>
      <c r="K46" s="42"/>
      <c r="L46" s="42"/>
      <c r="M46" s="42"/>
      <c r="N46" s="42"/>
      <c r="O46" s="42"/>
      <c r="P46" s="42"/>
      <c r="Q46" s="42" t="str">
        <f>IFERROR(IF(VLOOKUP($CJ$7,'4° PERIODO'!$A$7:$BV$36,$CG$42)=VLOOKUP($CJ$7,'3° PERIODO'!$A$7:$BV$36,$CG$42),"-",VLOOKUP($CJ$7,'4° PERIODO'!$A$7:$BV$36,$CG$42)-VLOOKUP($CJ$7,'3° PERIODO'!$A$7:$BV$36,$CG$42)),"")</f>
        <v>-</v>
      </c>
      <c r="R46" s="42"/>
      <c r="S46" s="42"/>
      <c r="T46" s="42"/>
      <c r="U46" s="42"/>
      <c r="V46" s="42"/>
      <c r="W46" s="42"/>
      <c r="X46" s="42"/>
      <c r="Y46" s="42">
        <f>IFERROR(IF(VLOOKUP($CJ$7,'4° PERIODO'!$A$7:$BV$36,$CG$43)=VLOOKUP($CJ$7,'3° PERIODO'!$A$7:$BV$36,$CG$43),"-",VLOOKUP($CJ$7,'4° PERIODO'!$A$7:$BV$36,$CG$43)-VLOOKUP($CJ$7,'3° PERIODO'!$A$7:$BV$36,$CG$43)),"")</f>
        <v>-3</v>
      </c>
      <c r="Z46" s="42"/>
      <c r="AA46" s="42"/>
      <c r="AB46" s="42"/>
      <c r="AC46" s="42"/>
      <c r="AD46" s="42"/>
      <c r="AE46" s="42"/>
      <c r="AF46" s="42"/>
      <c r="AG46" s="42">
        <f>IFERROR(IF(VLOOKUP($CJ$7,'4° PERIODO'!$A$7:$BV$36,$CG$44)=VLOOKUP($CJ$7,'3° PERIODO'!$A$7:$BV$36,$CG$44),"-",VLOOKUP($CJ$7,'4° PERIODO'!$A$7:$BV$36,$CG$44)-VLOOKUP($CJ$7,'3° PERIODO'!$A$7:$BV$36,$CG$44)),"")</f>
        <v>9</v>
      </c>
      <c r="AH46" s="42"/>
      <c r="AI46" s="42"/>
      <c r="AJ46" s="42"/>
      <c r="AK46" s="42"/>
      <c r="AL46" s="42"/>
      <c r="AM46" s="42"/>
      <c r="AN46" s="42"/>
      <c r="AO46" s="42"/>
      <c r="AP46" s="42"/>
      <c r="AQ46" s="42"/>
      <c r="AR46" s="42"/>
      <c r="AS46" s="42"/>
      <c r="AT46" s="42"/>
      <c r="AU46" s="42"/>
      <c r="AV46" s="42"/>
      <c r="AW46" s="42"/>
      <c r="AX46" s="42"/>
      <c r="AY46" s="42"/>
      <c r="AZ46" s="42"/>
      <c r="BA46" s="42"/>
      <c r="BB46" s="42"/>
      <c r="BC46" s="42"/>
      <c r="BD46" s="42"/>
      <c r="BE46" s="42"/>
      <c r="BF46" s="42"/>
      <c r="BG46" s="42"/>
      <c r="BH46" s="42"/>
      <c r="BI46" s="42"/>
      <c r="BJ46" s="42"/>
      <c r="BK46" s="42"/>
      <c r="BL46" s="42"/>
      <c r="BM46" s="42"/>
      <c r="BN46" s="42"/>
      <c r="BO46" s="42"/>
      <c r="BP46" s="42"/>
      <c r="BQ46" s="42"/>
      <c r="BR46" s="42"/>
      <c r="BS46" s="42"/>
      <c r="BT46" s="42"/>
      <c r="BU46" s="42"/>
      <c r="BV46" s="42"/>
      <c r="BW46" s="42"/>
      <c r="BX46" s="42"/>
      <c r="BY46" s="42"/>
      <c r="BZ46" s="42"/>
      <c r="CA46" s="42"/>
      <c r="CB46" s="42"/>
      <c r="CC46" s="42"/>
      <c r="CD46" s="42"/>
      <c r="CE46" s="42"/>
      <c r="CF46" s="42"/>
    </row>
    <row r="47" spans="1:92" x14ac:dyDescent="0.25">
      <c r="A47" s="43" t="s">
        <v>37</v>
      </c>
      <c r="B47" s="43"/>
      <c r="C47" s="43"/>
      <c r="D47" s="43"/>
      <c r="E47" s="43"/>
      <c r="F47" s="43"/>
      <c r="G47" s="43"/>
      <c r="H47" s="43"/>
      <c r="I47" s="40" t="str">
        <f>IF(SUM(I43:P46)=0,"-",SUM(I43:P46))</f>
        <v>-</v>
      </c>
      <c r="J47" s="40"/>
      <c r="K47" s="40"/>
      <c r="L47" s="40"/>
      <c r="M47" s="40"/>
      <c r="N47" s="40"/>
      <c r="O47" s="40"/>
      <c r="P47" s="40"/>
      <c r="Q47" s="40" t="str">
        <f>IF(SUM(Q43:X46)=0,"-",SUM(Q43:X46))</f>
        <v>-</v>
      </c>
      <c r="R47" s="40"/>
      <c r="S47" s="40"/>
      <c r="T47" s="40"/>
      <c r="U47" s="40"/>
      <c r="V47" s="40"/>
      <c r="W47" s="40"/>
      <c r="X47" s="40"/>
      <c r="Y47" s="40" t="str">
        <f>IF(SUM(Y43:AF46)=0,"-",SUM(Y43:AF46))</f>
        <v>-</v>
      </c>
      <c r="Z47" s="40"/>
      <c r="AA47" s="40"/>
      <c r="AB47" s="40"/>
      <c r="AC47" s="40"/>
      <c r="AD47" s="40"/>
      <c r="AE47" s="40"/>
      <c r="AF47" s="40"/>
      <c r="AG47" s="40">
        <f>IF(SUM(AG43:AN46)=0,"-",SUM(AG43:AN46))</f>
        <v>23</v>
      </c>
      <c r="AH47" s="40"/>
      <c r="AI47" s="40"/>
      <c r="AJ47" s="40"/>
      <c r="AK47" s="40"/>
      <c r="AL47" s="40"/>
      <c r="AM47" s="40"/>
      <c r="AN47" s="40"/>
      <c r="AO47" s="40" t="s">
        <v>64</v>
      </c>
      <c r="AP47" s="40"/>
      <c r="AQ47" s="40"/>
      <c r="AR47" s="40"/>
      <c r="AS47" s="40"/>
      <c r="AT47" s="40"/>
      <c r="AU47" s="40"/>
      <c r="AV47" s="40"/>
      <c r="AW47" s="40"/>
      <c r="AX47" s="40"/>
      <c r="AY47" s="40"/>
      <c r="AZ47" s="40"/>
      <c r="BA47" s="40"/>
      <c r="BB47" s="40"/>
      <c r="BC47" s="40"/>
      <c r="BD47" s="40"/>
      <c r="BE47" s="40"/>
      <c r="BF47" s="40"/>
      <c r="BG47" s="40"/>
      <c r="BH47" s="40"/>
      <c r="BI47" s="40"/>
      <c r="BJ47" s="40"/>
      <c r="BK47" s="40"/>
      <c r="BL47" s="40"/>
      <c r="BM47" s="40"/>
      <c r="BN47" s="40"/>
      <c r="BO47" s="40"/>
      <c r="BP47" s="40"/>
      <c r="BQ47" s="40"/>
      <c r="BR47" s="40"/>
      <c r="BS47" s="40"/>
      <c r="BT47" s="40"/>
      <c r="BU47" s="40"/>
      <c r="BV47" s="40"/>
      <c r="BW47" s="40"/>
      <c r="BX47" s="40"/>
      <c r="BY47" s="40"/>
      <c r="BZ47" s="40"/>
      <c r="CA47" s="40"/>
      <c r="CB47" s="40"/>
      <c r="CC47" s="40"/>
      <c r="CD47" s="40"/>
      <c r="CE47" s="40"/>
      <c r="CF47" s="40"/>
    </row>
    <row r="49" spans="1:85" ht="16.5" x14ac:dyDescent="0.25">
      <c r="A49" s="73" t="s">
        <v>69</v>
      </c>
      <c r="B49" s="73"/>
      <c r="C49" s="73"/>
      <c r="D49" s="73"/>
      <c r="E49" s="73"/>
      <c r="F49" s="73"/>
      <c r="G49" s="73"/>
      <c r="H49" s="73"/>
      <c r="I49" s="73"/>
      <c r="J49" s="73"/>
      <c r="K49" s="73"/>
      <c r="L49" s="73"/>
      <c r="M49" s="73"/>
      <c r="N49" s="73"/>
      <c r="O49" s="73"/>
      <c r="P49" s="73"/>
      <c r="Q49" s="73"/>
      <c r="R49" s="73"/>
      <c r="S49" s="73"/>
      <c r="T49" s="73"/>
      <c r="U49" s="73"/>
      <c r="V49" s="73"/>
      <c r="W49" s="73"/>
      <c r="X49" s="73"/>
      <c r="Y49" s="73"/>
      <c r="Z49" s="73"/>
      <c r="AA49" s="73"/>
      <c r="AB49" s="73"/>
      <c r="AC49" s="73"/>
      <c r="AD49" s="73"/>
      <c r="AE49" s="73"/>
      <c r="AF49" s="73"/>
      <c r="AG49" s="73"/>
      <c r="AH49" s="73"/>
      <c r="AI49" s="73"/>
      <c r="AJ49" s="73"/>
      <c r="AK49" s="73"/>
      <c r="AL49" s="73"/>
      <c r="AM49" s="73"/>
      <c r="AN49" s="73"/>
      <c r="AO49" s="73"/>
      <c r="AP49" s="73"/>
      <c r="AQ49" s="73"/>
      <c r="AR49" s="73"/>
      <c r="AS49" s="73"/>
      <c r="AT49" s="73"/>
      <c r="AU49" s="73"/>
      <c r="AV49" s="73"/>
      <c r="AW49" s="73"/>
      <c r="AX49" s="73"/>
      <c r="AY49" s="73"/>
      <c r="AZ49" s="73"/>
      <c r="BA49" s="73"/>
      <c r="BB49" s="73"/>
      <c r="BC49" s="73"/>
      <c r="BD49" s="73"/>
      <c r="BE49" s="73"/>
      <c r="BF49" s="73"/>
      <c r="BG49" s="73"/>
      <c r="BH49" s="73"/>
      <c r="BI49" s="73"/>
      <c r="BJ49" s="73"/>
      <c r="BK49" s="73"/>
      <c r="BL49" s="73"/>
      <c r="BM49" s="73"/>
      <c r="BN49" s="73"/>
      <c r="BO49" s="73"/>
      <c r="BP49" s="73"/>
      <c r="BQ49" s="73"/>
      <c r="BR49" s="73"/>
      <c r="BS49" s="73"/>
      <c r="BT49" s="73"/>
      <c r="BU49" s="73"/>
      <c r="BV49" s="73"/>
      <c r="BW49" s="73"/>
      <c r="BX49" s="73"/>
      <c r="BY49" s="73"/>
      <c r="BZ49" s="73"/>
      <c r="CA49" s="73"/>
      <c r="CB49" s="73"/>
      <c r="CC49" s="73"/>
      <c r="CD49" s="73"/>
      <c r="CE49" s="73"/>
      <c r="CF49" s="73"/>
    </row>
    <row r="51" spans="1:85" ht="25.15" customHeight="1" x14ac:dyDescent="0.25">
      <c r="A51" s="41" t="s">
        <v>65</v>
      </c>
      <c r="B51" s="41"/>
      <c r="C51" s="41"/>
      <c r="D51" s="41"/>
      <c r="E51" s="41"/>
      <c r="F51" s="41"/>
      <c r="G51" s="41"/>
      <c r="H51" s="41"/>
      <c r="I51" s="41"/>
      <c r="J51" s="43" t="s">
        <v>70</v>
      </c>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t="s">
        <v>16</v>
      </c>
      <c r="BM51" s="43"/>
      <c r="BN51" s="43"/>
      <c r="BO51" s="43" t="s">
        <v>17</v>
      </c>
      <c r="BP51" s="43"/>
      <c r="BQ51" s="43"/>
      <c r="BR51" s="43" t="s">
        <v>18</v>
      </c>
      <c r="BS51" s="43"/>
      <c r="BT51" s="43"/>
      <c r="BU51" s="43" t="s">
        <v>20</v>
      </c>
      <c r="BV51" s="43"/>
      <c r="BW51" s="43"/>
      <c r="BX51" s="41" t="s">
        <v>38</v>
      </c>
      <c r="BY51" s="41"/>
      <c r="BZ51" s="41"/>
      <c r="CA51" s="41"/>
      <c r="CB51" s="41"/>
      <c r="CC51" s="41"/>
      <c r="CD51" s="41"/>
      <c r="CE51" s="41"/>
      <c r="CF51" s="41"/>
    </row>
    <row r="52" spans="1:85" ht="25.15" customHeight="1" x14ac:dyDescent="0.25">
      <c r="A52" s="77" t="s">
        <v>39</v>
      </c>
      <c r="B52" s="77"/>
      <c r="C52" s="77"/>
      <c r="D52" s="77"/>
      <c r="E52" s="77"/>
      <c r="F52" s="77"/>
      <c r="G52" s="77"/>
      <c r="H52" s="77"/>
      <c r="I52" s="77"/>
      <c r="J52" s="78" t="s">
        <v>40</v>
      </c>
      <c r="K52" s="78"/>
      <c r="L52" s="78"/>
      <c r="M52" s="78"/>
      <c r="N52" s="78"/>
      <c r="O52" s="78"/>
      <c r="P52" s="78"/>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78"/>
      <c r="BJ52" s="78"/>
      <c r="BK52" s="78"/>
      <c r="BL52" s="74" t="str">
        <f>IFERROR(IF(VLOOKUP($CJ$7,'1° PERIODO'!$A$7:$AT$36,CG52)="","-",VLOOKUP($CJ$7,'1° PERIODO'!$A$7:$AT$36,CG52)),"")</f>
        <v>B</v>
      </c>
      <c r="BM52" s="75"/>
      <c r="BN52" s="76"/>
      <c r="BO52" s="42" t="str">
        <f>IFERROR(IF(VLOOKUP($CJ$7,'2° PERIODO'!$A$7:$BV$36,CG52)="","-",VLOOKUP($CJ$7,'2° PERIODO'!$A$7:$BV$36,CG52)),"")</f>
        <v>B</v>
      </c>
      <c r="BP52" s="42"/>
      <c r="BQ52" s="42"/>
      <c r="BR52" s="42" t="str">
        <f>IFERROR(IF(VLOOKUP($CJ$7,'3° PERIODO'!$A$7:$BV$36,CG52)="","-",VLOOKUP($CJ$7,'3° PERIODO'!$A$7:$BV$36,CG52)),"")</f>
        <v>A</v>
      </c>
      <c r="BS52" s="42"/>
      <c r="BT52" s="42"/>
      <c r="BU52" s="42" t="str">
        <f>IFERROR(IF(VLOOKUP($CJ$7,'4° PERIODO'!$A$7:$BV$36,CG52)="","-",VLOOKUP($CJ$7,'4° PERIODO'!$A$7:$BV$36,CG52)),"")</f>
        <v>A</v>
      </c>
      <c r="BV52" s="42"/>
      <c r="BW52" s="42"/>
      <c r="BX52" s="40" t="str" cm="1">
        <f t="array" ref="BX52">IFERROR(_xlfn.XLOOKUP(ROUND(AVERAGE(_xlfn.XLOOKUP(BL52:BW52,{"AD";"A";"B";"C"},{4;3;2;1},"")),0),{4;3;2;1},{"AD";"A";"B";"C"}),"-")</f>
        <v>A</v>
      </c>
      <c r="BY52" s="40"/>
      <c r="BZ52" s="40"/>
      <c r="CA52" s="40"/>
      <c r="CB52" s="40"/>
      <c r="CC52" s="40"/>
      <c r="CD52" s="40"/>
      <c r="CE52" s="40"/>
      <c r="CF52" s="40"/>
      <c r="CG52" s="18">
        <v>4</v>
      </c>
    </row>
    <row r="53" spans="1:85" ht="25.15" customHeight="1" x14ac:dyDescent="0.25">
      <c r="A53" s="77" t="s">
        <v>41</v>
      </c>
      <c r="B53" s="77"/>
      <c r="C53" s="77"/>
      <c r="D53" s="77"/>
      <c r="E53" s="77"/>
      <c r="F53" s="77"/>
      <c r="G53" s="77"/>
      <c r="H53" s="77"/>
      <c r="I53" s="77"/>
      <c r="J53" s="78" t="s">
        <v>67</v>
      </c>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4" t="str">
        <f>IFERROR(IF(VLOOKUP($CJ$7,'1° PERIODO'!$A$7:$AT$36,CG53)="","-",VLOOKUP($CJ$7,'1° PERIODO'!$A$7:$AT$36,CG53)),"")</f>
        <v>B</v>
      </c>
      <c r="BM53" s="75"/>
      <c r="BN53" s="76"/>
      <c r="BO53" s="42" t="str">
        <f>IFERROR(IF(VLOOKUP($CJ$7,'2° PERIODO'!$A$7:$BV$36,CG53)="","-",VLOOKUP($CJ$7,'2° PERIODO'!$A$7:$BV$36,CG53)),"")</f>
        <v>B</v>
      </c>
      <c r="BP53" s="42"/>
      <c r="BQ53" s="42"/>
      <c r="BR53" s="42" t="str">
        <f>IFERROR(IF(VLOOKUP($CJ$7,'3° PERIODO'!$A$7:$BV$36,CG53)="","-",VLOOKUP($CJ$7,'3° PERIODO'!$A$7:$BV$36,CG53)),"")</f>
        <v>A</v>
      </c>
      <c r="BS53" s="42"/>
      <c r="BT53" s="42"/>
      <c r="BU53" s="42" t="str">
        <f>IFERROR(IF(VLOOKUP($CJ$7,'4° PERIODO'!$A$7:$BV$36,CG53)="","-",VLOOKUP($CJ$7,'4° PERIODO'!$A$7:$BV$36,CG53)),"")</f>
        <v>A</v>
      </c>
      <c r="BV53" s="42"/>
      <c r="BW53" s="42"/>
      <c r="BX53" s="40" t="str" cm="1">
        <f t="array" ref="BX53">IFERROR(_xlfn.XLOOKUP(ROUND(AVERAGE(_xlfn.XLOOKUP(BL53:BW53,{"AD";"A";"B";"C"},{4;3;2;1},"")),0),{4;3;2;1},{"AD";"A";"B";"C"}),"-")</f>
        <v>A</v>
      </c>
      <c r="BY53" s="40"/>
      <c r="BZ53" s="40"/>
      <c r="CA53" s="40"/>
      <c r="CB53" s="40"/>
      <c r="CC53" s="40"/>
      <c r="CD53" s="40"/>
      <c r="CE53" s="40"/>
      <c r="CF53" s="40"/>
      <c r="CG53" s="18">
        <v>5</v>
      </c>
    </row>
    <row r="54" spans="1:85" ht="25.15" customHeight="1" x14ac:dyDescent="0.25">
      <c r="A54" s="77" t="s">
        <v>42</v>
      </c>
      <c r="B54" s="77"/>
      <c r="C54" s="77"/>
      <c r="D54" s="77"/>
      <c r="E54" s="77"/>
      <c r="F54" s="77"/>
      <c r="G54" s="77"/>
      <c r="H54" s="77"/>
      <c r="I54" s="77"/>
      <c r="J54" s="78" t="s">
        <v>43</v>
      </c>
      <c r="K54" s="78"/>
      <c r="L54" s="78"/>
      <c r="M54" s="78"/>
      <c r="N54" s="78"/>
      <c r="O54" s="78"/>
      <c r="P54" s="78"/>
      <c r="Q54" s="78"/>
      <c r="R54" s="78"/>
      <c r="S54" s="78"/>
      <c r="T54" s="78"/>
      <c r="U54" s="78"/>
      <c r="V54" s="78"/>
      <c r="W54" s="78"/>
      <c r="X54" s="78"/>
      <c r="Y54" s="78"/>
      <c r="Z54" s="78"/>
      <c r="AA54" s="78"/>
      <c r="AB54" s="78"/>
      <c r="AC54" s="78"/>
      <c r="AD54" s="78"/>
      <c r="AE54" s="78"/>
      <c r="AF54" s="78"/>
      <c r="AG54" s="78"/>
      <c r="AH54" s="78"/>
      <c r="AI54" s="78"/>
      <c r="AJ54" s="78"/>
      <c r="AK54" s="78"/>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78"/>
      <c r="BJ54" s="78"/>
      <c r="BK54" s="78"/>
      <c r="BL54" s="74" t="str">
        <f>IFERROR(IF(VLOOKUP($CJ$7,'1° PERIODO'!$A$7:$AT$36,CG54)="","-",VLOOKUP($CJ$7,'1° PERIODO'!$A$7:$AT$36,CG54)),"")</f>
        <v>A</v>
      </c>
      <c r="BM54" s="75"/>
      <c r="BN54" s="76"/>
      <c r="BO54" s="42" t="str">
        <f>IFERROR(IF(VLOOKUP($CJ$7,'2° PERIODO'!$A$7:$BV$36,CG54)="","-",VLOOKUP($CJ$7,'2° PERIODO'!$A$7:$BV$36,CG54)),"")</f>
        <v>A</v>
      </c>
      <c r="BP54" s="42"/>
      <c r="BQ54" s="42"/>
      <c r="BR54" s="42" t="str">
        <f>IFERROR(IF(VLOOKUP($CJ$7,'3° PERIODO'!$A$7:$BV$36,CG54)="","-",VLOOKUP($CJ$7,'3° PERIODO'!$A$7:$BV$36,CG54)),"")</f>
        <v>A</v>
      </c>
      <c r="BS54" s="42"/>
      <c r="BT54" s="42"/>
      <c r="BU54" s="42" t="str">
        <f>IFERROR(IF(VLOOKUP($CJ$7,'4° PERIODO'!$A$7:$BV$36,CG54)="","-",VLOOKUP($CJ$7,'4° PERIODO'!$A$7:$BV$36,CG54)),"")</f>
        <v>A</v>
      </c>
      <c r="BV54" s="42"/>
      <c r="BW54" s="42"/>
      <c r="BX54" s="40" t="str" cm="1">
        <f t="array" ref="BX54">IFERROR(_xlfn.XLOOKUP(ROUND(AVERAGE(_xlfn.XLOOKUP(BL54:BW54,{"AD";"A";"B";"C"},{4;3;2;1},"")),0),{4;3;2;1},{"AD";"A";"B";"C"}),"-")</f>
        <v>A</v>
      </c>
      <c r="BY54" s="40"/>
      <c r="BZ54" s="40"/>
      <c r="CA54" s="40"/>
      <c r="CB54" s="40"/>
      <c r="CC54" s="40"/>
      <c r="CD54" s="40"/>
      <c r="CE54" s="40"/>
      <c r="CF54" s="40"/>
      <c r="CG54" s="18">
        <v>6</v>
      </c>
    </row>
    <row r="55" spans="1:85" ht="25.15" customHeight="1" x14ac:dyDescent="0.25">
      <c r="A55" s="77" t="s">
        <v>44</v>
      </c>
      <c r="B55" s="77"/>
      <c r="C55" s="77"/>
      <c r="D55" s="77"/>
      <c r="E55" s="77"/>
      <c r="F55" s="77"/>
      <c r="G55" s="77"/>
      <c r="H55" s="77"/>
      <c r="I55" s="77"/>
      <c r="J55" s="78" t="s">
        <v>45</v>
      </c>
      <c r="K55" s="78"/>
      <c r="L55" s="78"/>
      <c r="M55" s="78"/>
      <c r="N55" s="78"/>
      <c r="O55" s="78"/>
      <c r="P55" s="78"/>
      <c r="Q55" s="78"/>
      <c r="R55" s="78"/>
      <c r="S55" s="78"/>
      <c r="T55" s="78"/>
      <c r="U55" s="78"/>
      <c r="V55" s="78"/>
      <c r="W55" s="78"/>
      <c r="X55" s="78"/>
      <c r="Y55" s="78"/>
      <c r="Z55" s="78"/>
      <c r="AA55" s="78"/>
      <c r="AB55" s="78"/>
      <c r="AC55" s="78"/>
      <c r="AD55" s="78"/>
      <c r="AE55" s="78"/>
      <c r="AF55" s="78"/>
      <c r="AG55" s="78"/>
      <c r="AH55" s="78"/>
      <c r="AI55" s="78"/>
      <c r="AJ55" s="78"/>
      <c r="AK55" s="78"/>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78"/>
      <c r="BJ55" s="78"/>
      <c r="BK55" s="78"/>
      <c r="BL55" s="74" t="str">
        <f>IFERROR(IF(VLOOKUP($CJ$7,'1° PERIODO'!$A$7:$AT$36,CG55)="","-",VLOOKUP($CJ$7,'1° PERIODO'!$A$7:$AT$36,CG55)),"")</f>
        <v>B</v>
      </c>
      <c r="BM55" s="75"/>
      <c r="BN55" s="76"/>
      <c r="BO55" s="42" t="str">
        <f>IFERROR(IF(VLOOKUP($CJ$7,'2° PERIODO'!$A$7:$BV$36,CG55)="","-",VLOOKUP($CJ$7,'2° PERIODO'!$A$7:$BV$36,CG55)),"")</f>
        <v>A</v>
      </c>
      <c r="BP55" s="42"/>
      <c r="BQ55" s="42"/>
      <c r="BR55" s="42" t="str">
        <f>IFERROR(IF(VLOOKUP($CJ$7,'3° PERIODO'!$A$7:$BV$36,CG55)="","-",VLOOKUP($CJ$7,'3° PERIODO'!$A$7:$BV$36,CG55)),"")</f>
        <v>A</v>
      </c>
      <c r="BS55" s="42"/>
      <c r="BT55" s="42"/>
      <c r="BU55" s="42" t="str">
        <f>IFERROR(IF(VLOOKUP($CJ$7,'4° PERIODO'!$A$7:$BV$36,CG55)="","-",VLOOKUP($CJ$7,'4° PERIODO'!$A$7:$BV$36,CG55)),"")</f>
        <v>-</v>
      </c>
      <c r="BV55" s="42"/>
      <c r="BW55" s="42"/>
      <c r="BX55" s="40" t="str" cm="1">
        <f t="array" ref="BX55">IFERROR(_xlfn.XLOOKUP(ROUND(AVERAGE(_xlfn.XLOOKUP(BL55:BW55,{"AD";"A";"B";"C"},{4;3;2;1},"")),0),{4;3;2;1},{"AD";"A";"B";"C"}),"-")</f>
        <v>A</v>
      </c>
      <c r="BY55" s="40"/>
      <c r="BZ55" s="40"/>
      <c r="CA55" s="40"/>
      <c r="CB55" s="40"/>
      <c r="CC55" s="40"/>
      <c r="CD55" s="40"/>
      <c r="CE55" s="40"/>
      <c r="CF55" s="40"/>
      <c r="CG55" s="18">
        <v>7</v>
      </c>
    </row>
    <row r="56" spans="1:85" ht="36" customHeight="1" x14ac:dyDescent="0.25">
      <c r="A56" s="77" t="s">
        <v>88</v>
      </c>
      <c r="B56" s="77"/>
      <c r="C56" s="77"/>
      <c r="D56" s="77"/>
      <c r="E56" s="77"/>
      <c r="F56" s="77"/>
      <c r="G56" s="77"/>
      <c r="H56" s="77"/>
      <c r="I56" s="77"/>
      <c r="J56" s="78" t="s">
        <v>47</v>
      </c>
      <c r="K56" s="78"/>
      <c r="L56" s="78"/>
      <c r="M56" s="78"/>
      <c r="N56" s="78"/>
      <c r="O56" s="78"/>
      <c r="P56" s="78"/>
      <c r="Q56" s="78"/>
      <c r="R56" s="78"/>
      <c r="S56" s="78"/>
      <c r="T56" s="78"/>
      <c r="U56" s="78"/>
      <c r="V56" s="78"/>
      <c r="W56" s="78"/>
      <c r="X56" s="78"/>
      <c r="Y56" s="78"/>
      <c r="Z56" s="78"/>
      <c r="AA56" s="78"/>
      <c r="AB56" s="78"/>
      <c r="AC56" s="78"/>
      <c r="AD56" s="78"/>
      <c r="AE56" s="78"/>
      <c r="AF56" s="78"/>
      <c r="AG56" s="78"/>
      <c r="AH56" s="78"/>
      <c r="AI56" s="78"/>
      <c r="AJ56" s="78"/>
      <c r="AK56" s="78"/>
      <c r="AL56" s="78"/>
      <c r="AM56" s="78"/>
      <c r="AN56" s="78"/>
      <c r="AO56" s="78"/>
      <c r="AP56" s="78"/>
      <c r="AQ56" s="78"/>
      <c r="AR56" s="78"/>
      <c r="AS56" s="78"/>
      <c r="AT56" s="78"/>
      <c r="AU56" s="78"/>
      <c r="AV56" s="78"/>
      <c r="AW56" s="78"/>
      <c r="AX56" s="78"/>
      <c r="AY56" s="78"/>
      <c r="AZ56" s="78"/>
      <c r="BA56" s="78"/>
      <c r="BB56" s="78"/>
      <c r="BC56" s="78"/>
      <c r="BD56" s="78"/>
      <c r="BE56" s="78"/>
      <c r="BF56" s="78"/>
      <c r="BG56" s="78"/>
      <c r="BH56" s="78"/>
      <c r="BI56" s="78"/>
      <c r="BJ56" s="78"/>
      <c r="BK56" s="78"/>
      <c r="BL56" s="74" t="str">
        <f>IFERROR(IF(VLOOKUP($CJ$7,'1° PERIODO'!$A$7:$AT$36,CG56)="","-",VLOOKUP($CJ$7,'1° PERIODO'!$A$7:$AT$36,CG56)),"")</f>
        <v>A</v>
      </c>
      <c r="BM56" s="75"/>
      <c r="BN56" s="76"/>
      <c r="BO56" s="42" t="str">
        <f>IFERROR(IF(VLOOKUP($CJ$7,'2° PERIODO'!$A$7:$BV$36,CG56)="","-",VLOOKUP($CJ$7,'2° PERIODO'!$A$7:$BV$36,CG56)),"")</f>
        <v>A</v>
      </c>
      <c r="BP56" s="42"/>
      <c r="BQ56" s="42"/>
      <c r="BR56" s="42" t="str">
        <f>IFERROR(IF(VLOOKUP($CJ$7,'3° PERIODO'!$A$7:$BV$36,CG56)="","-",VLOOKUP($CJ$7,'3° PERIODO'!$A$7:$BV$36,CG56)),"")</f>
        <v>A</v>
      </c>
      <c r="BS56" s="42"/>
      <c r="BT56" s="42"/>
      <c r="BU56" s="42" t="str">
        <f>IFERROR(IF(VLOOKUP($CJ$7,'4° PERIODO'!$A$7:$BV$36,CG56)="","-",VLOOKUP($CJ$7,'4° PERIODO'!$A$7:$BV$36,CG56)),"")</f>
        <v>A</v>
      </c>
      <c r="BV56" s="42"/>
      <c r="BW56" s="42"/>
      <c r="BX56" s="40" t="str" cm="1">
        <f t="array" ref="BX56">IFERROR(_xlfn.XLOOKUP(ROUND(AVERAGE(_xlfn.XLOOKUP(BL56:BW56,{"AD";"A";"B";"C"},{4;3;2;1},"")),0),{4;3;2;1},{"AD";"A";"B";"C"}),"-")</f>
        <v>A</v>
      </c>
      <c r="BY56" s="40"/>
      <c r="BZ56" s="40"/>
      <c r="CA56" s="40"/>
      <c r="CB56" s="40"/>
      <c r="CC56" s="40"/>
      <c r="CD56" s="40"/>
      <c r="CE56" s="40"/>
      <c r="CF56" s="40"/>
      <c r="CG56" s="18">
        <v>8</v>
      </c>
    </row>
    <row r="57" spans="1:85" ht="14.45" customHeight="1" x14ac:dyDescent="0.25">
      <c r="A57" s="25"/>
      <c r="B57" s="25"/>
      <c r="C57" s="25"/>
      <c r="D57" s="25"/>
      <c r="E57" s="25"/>
      <c r="F57" s="25"/>
      <c r="G57" s="25"/>
      <c r="H57" s="25"/>
      <c r="I57" s="25"/>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c r="AT57" s="29"/>
      <c r="AU57" s="29"/>
      <c r="AV57" s="29"/>
      <c r="AW57" s="29"/>
      <c r="AX57" s="29"/>
      <c r="AY57" s="29"/>
      <c r="AZ57" s="29"/>
      <c r="BA57" s="29"/>
      <c r="BB57" s="29"/>
      <c r="BC57" s="29"/>
      <c r="BD57" s="29"/>
      <c r="BE57" s="29"/>
      <c r="BF57" s="29"/>
      <c r="BG57" s="29"/>
      <c r="BH57" s="29"/>
      <c r="BI57" s="29"/>
      <c r="BJ57" s="29"/>
      <c r="BK57" s="29"/>
      <c r="BL57" s="25"/>
      <c r="BM57" s="25"/>
      <c r="BN57" s="25"/>
      <c r="BO57" s="25"/>
      <c r="BP57" s="25"/>
      <c r="BQ57" s="25"/>
      <c r="BR57" s="25"/>
      <c r="BS57" s="25"/>
      <c r="BT57" s="25"/>
      <c r="BU57" s="25"/>
      <c r="BV57" s="25"/>
      <c r="BW57" s="25"/>
      <c r="BX57" s="21"/>
      <c r="BY57" s="21"/>
      <c r="BZ57" s="21"/>
      <c r="CA57" s="21"/>
      <c r="CB57" s="21"/>
      <c r="CC57" s="21"/>
      <c r="CD57" s="21"/>
      <c r="CE57" s="21"/>
      <c r="CF57" s="21"/>
    </row>
    <row r="58" spans="1:85" ht="14.1" customHeight="1" x14ac:dyDescent="0.25">
      <c r="A58" s="73" t="s">
        <v>68</v>
      </c>
      <c r="B58" s="73"/>
      <c r="C58" s="73"/>
      <c r="D58" s="73"/>
      <c r="E58" s="73"/>
      <c r="F58" s="73"/>
      <c r="G58" s="73"/>
      <c r="H58" s="73"/>
      <c r="I58" s="73"/>
      <c r="J58" s="73"/>
      <c r="K58" s="73"/>
      <c r="L58" s="73"/>
      <c r="M58" s="73"/>
      <c r="N58" s="73"/>
      <c r="O58" s="73"/>
      <c r="P58" s="73"/>
      <c r="Q58" s="73"/>
      <c r="R58" s="73"/>
      <c r="S58" s="73"/>
      <c r="T58" s="73"/>
      <c r="U58" s="73"/>
      <c r="V58" s="73"/>
      <c r="W58" s="73"/>
      <c r="X58" s="73"/>
      <c r="Y58" s="73"/>
      <c r="Z58" s="73"/>
      <c r="AA58" s="73"/>
      <c r="AB58" s="73"/>
      <c r="AC58" s="73"/>
      <c r="AD58" s="73"/>
      <c r="AE58" s="73"/>
      <c r="AF58" s="73"/>
      <c r="AG58" s="73"/>
      <c r="AH58" s="73"/>
      <c r="AI58" s="73"/>
      <c r="AJ58" s="73"/>
      <c r="AK58" s="73"/>
      <c r="AL58" s="73"/>
      <c r="AM58" s="73"/>
      <c r="AN58" s="73"/>
      <c r="AO58" s="73"/>
      <c r="AP58" s="73"/>
      <c r="AQ58" s="73"/>
      <c r="AR58" s="73"/>
      <c r="AS58" s="73"/>
      <c r="AT58" s="73"/>
      <c r="AU58" s="73"/>
      <c r="AV58" s="73"/>
      <c r="AW58" s="73"/>
      <c r="AX58" s="73"/>
      <c r="AY58" s="73"/>
      <c r="AZ58" s="73"/>
      <c r="BA58" s="73"/>
      <c r="BB58" s="73"/>
      <c r="BC58" s="73"/>
      <c r="BD58" s="73"/>
      <c r="BE58" s="73"/>
      <c r="BF58" s="73"/>
      <c r="BG58" s="73"/>
      <c r="BH58" s="73"/>
      <c r="BI58" s="73"/>
      <c r="BJ58" s="73"/>
      <c r="BK58" s="73"/>
      <c r="BL58" s="73"/>
      <c r="BM58" s="73"/>
      <c r="BN58" s="73"/>
      <c r="BO58" s="73"/>
      <c r="BP58" s="73"/>
      <c r="BQ58" s="73"/>
      <c r="BR58" s="73"/>
      <c r="BS58" s="73"/>
      <c r="BT58" s="73"/>
      <c r="BU58" s="73"/>
      <c r="BV58" s="73"/>
      <c r="BW58" s="73"/>
      <c r="BX58" s="73"/>
      <c r="BY58" s="73"/>
      <c r="BZ58" s="73"/>
      <c r="CA58" s="73"/>
      <c r="CB58" s="73"/>
      <c r="CC58" s="73"/>
      <c r="CD58" s="73"/>
      <c r="CE58" s="73"/>
      <c r="CF58" s="73"/>
    </row>
    <row r="60" spans="1:85" x14ac:dyDescent="0.25">
      <c r="A60" s="43" t="s">
        <v>14</v>
      </c>
      <c r="B60" s="43"/>
      <c r="C60" s="43"/>
      <c r="D60" s="43"/>
      <c r="E60" s="43"/>
      <c r="F60" s="43"/>
      <c r="G60" s="43" t="s">
        <v>66</v>
      </c>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t="s">
        <v>48</v>
      </c>
      <c r="BP60" s="43"/>
      <c r="BQ60" s="43"/>
      <c r="BR60" s="43"/>
      <c r="BS60" s="43"/>
      <c r="BT60" s="43"/>
      <c r="BU60" s="43"/>
      <c r="BV60" s="43"/>
      <c r="BW60" s="43"/>
      <c r="BX60" s="43"/>
      <c r="BY60" s="43"/>
      <c r="BZ60" s="43"/>
      <c r="CA60" s="43"/>
      <c r="CB60" s="43"/>
      <c r="CC60" s="43"/>
      <c r="CD60" s="43"/>
      <c r="CE60" s="43"/>
      <c r="CF60" s="43"/>
      <c r="CG60" s="18">
        <v>9</v>
      </c>
    </row>
    <row r="61" spans="1:85" ht="6.6" customHeight="1" x14ac:dyDescent="0.25">
      <c r="A61" s="45" t="s">
        <v>16</v>
      </c>
      <c r="B61" s="46"/>
      <c r="C61" s="46"/>
      <c r="D61" s="46"/>
      <c r="E61" s="46"/>
      <c r="F61" s="47"/>
      <c r="G61" s="54" t="str">
        <f>IFERROR(IF(VLOOKUP($CJ$7,'1° PERIODO'!$A$7:$AT$36,$CG$60)="","",VLOOKUP($CJ$7,'1° PERIODO'!$A$7:$AT$36,$CG$60)),"")</f>
        <v>¡Sigue así, Leydi! Durante este periodo hemos observado como comunicas tus ideas dentro y fuera del aula, también como te gusta pintar y dibujar y expresas tus ideas con soltura. 
Mamita hay que seguir reforzando en casa las rutinas de alimentación y aseo, recuerda también siempre supervisar las actividades de Leydi. ¡Juntas lo vamos a lograr!</v>
      </c>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6"/>
      <c r="BO61" s="31"/>
      <c r="BP61" s="32"/>
      <c r="BQ61" s="32"/>
      <c r="BR61" s="32"/>
      <c r="BS61" s="32"/>
      <c r="BT61" s="32"/>
      <c r="BU61" s="32"/>
      <c r="BV61" s="32"/>
      <c r="BW61" s="32"/>
      <c r="BX61" s="32"/>
      <c r="BY61" s="32"/>
      <c r="BZ61" s="32"/>
      <c r="CA61" s="32"/>
      <c r="CB61" s="32"/>
      <c r="CC61" s="32"/>
      <c r="CD61" s="32"/>
      <c r="CE61" s="32"/>
      <c r="CF61" s="33"/>
    </row>
    <row r="62" spans="1:85" ht="6.6" customHeight="1" x14ac:dyDescent="0.25">
      <c r="A62" s="48"/>
      <c r="B62" s="49"/>
      <c r="C62" s="49"/>
      <c r="D62" s="49"/>
      <c r="E62" s="49"/>
      <c r="F62" s="50"/>
      <c r="G62" s="57"/>
      <c r="H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c r="BA62" s="58"/>
      <c r="BB62" s="58"/>
      <c r="BC62" s="58"/>
      <c r="BD62" s="58"/>
      <c r="BE62" s="58"/>
      <c r="BF62" s="58"/>
      <c r="BG62" s="58"/>
      <c r="BH62" s="58"/>
      <c r="BI62" s="58"/>
      <c r="BJ62" s="58"/>
      <c r="BK62" s="58"/>
      <c r="BL62" s="58"/>
      <c r="BM62" s="58"/>
      <c r="BN62" s="59"/>
      <c r="BO62" s="34"/>
      <c r="BP62" s="35"/>
      <c r="BQ62" s="35"/>
      <c r="BR62" s="35"/>
      <c r="BS62" s="35"/>
      <c r="BT62" s="35"/>
      <c r="BU62" s="35"/>
      <c r="BV62" s="35"/>
      <c r="BW62" s="35"/>
      <c r="BX62" s="35"/>
      <c r="BY62" s="35"/>
      <c r="BZ62" s="35"/>
      <c r="CA62" s="35"/>
      <c r="CB62" s="35"/>
      <c r="CC62" s="35"/>
      <c r="CD62" s="35"/>
      <c r="CE62" s="35"/>
      <c r="CF62" s="36"/>
    </row>
    <row r="63" spans="1:85" ht="6.6" customHeight="1" x14ac:dyDescent="0.25">
      <c r="A63" s="48"/>
      <c r="B63" s="49"/>
      <c r="C63" s="49"/>
      <c r="D63" s="49"/>
      <c r="E63" s="49"/>
      <c r="F63" s="50"/>
      <c r="G63" s="57"/>
      <c r="H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c r="BA63" s="58"/>
      <c r="BB63" s="58"/>
      <c r="BC63" s="58"/>
      <c r="BD63" s="58"/>
      <c r="BE63" s="58"/>
      <c r="BF63" s="58"/>
      <c r="BG63" s="58"/>
      <c r="BH63" s="58"/>
      <c r="BI63" s="58"/>
      <c r="BJ63" s="58"/>
      <c r="BK63" s="58"/>
      <c r="BL63" s="58"/>
      <c r="BM63" s="58"/>
      <c r="BN63" s="59"/>
      <c r="BO63" s="34"/>
      <c r="BP63" s="35"/>
      <c r="BQ63" s="35"/>
      <c r="BR63" s="35"/>
      <c r="BS63" s="35"/>
      <c r="BT63" s="35"/>
      <c r="BU63" s="35"/>
      <c r="BV63" s="35"/>
      <c r="BW63" s="35"/>
      <c r="BX63" s="35"/>
      <c r="BY63" s="35"/>
      <c r="BZ63" s="35"/>
      <c r="CA63" s="35"/>
      <c r="CB63" s="35"/>
      <c r="CC63" s="35"/>
      <c r="CD63" s="35"/>
      <c r="CE63" s="35"/>
      <c r="CF63" s="36"/>
    </row>
    <row r="64" spans="1:85" ht="6.6" customHeight="1" x14ac:dyDescent="0.25">
      <c r="A64" s="48"/>
      <c r="B64" s="49"/>
      <c r="C64" s="49"/>
      <c r="D64" s="49"/>
      <c r="E64" s="49"/>
      <c r="F64" s="50"/>
      <c r="G64" s="57"/>
      <c r="H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c r="BA64" s="58"/>
      <c r="BB64" s="58"/>
      <c r="BC64" s="58"/>
      <c r="BD64" s="58"/>
      <c r="BE64" s="58"/>
      <c r="BF64" s="58"/>
      <c r="BG64" s="58"/>
      <c r="BH64" s="58"/>
      <c r="BI64" s="58"/>
      <c r="BJ64" s="58"/>
      <c r="BK64" s="58"/>
      <c r="BL64" s="58"/>
      <c r="BM64" s="58"/>
      <c r="BN64" s="59"/>
      <c r="BO64" s="34"/>
      <c r="BP64" s="35"/>
      <c r="BQ64" s="35"/>
      <c r="BR64" s="35"/>
      <c r="BS64" s="35"/>
      <c r="BT64" s="35"/>
      <c r="BU64" s="35"/>
      <c r="BV64" s="35"/>
      <c r="BW64" s="35"/>
      <c r="BX64" s="35"/>
      <c r="BY64" s="35"/>
      <c r="BZ64" s="35"/>
      <c r="CA64" s="35"/>
      <c r="CB64" s="35"/>
      <c r="CC64" s="35"/>
      <c r="CD64" s="35"/>
      <c r="CE64" s="35"/>
      <c r="CF64" s="36"/>
    </row>
    <row r="65" spans="1:84" ht="6.6" customHeight="1" x14ac:dyDescent="0.25">
      <c r="A65" s="48"/>
      <c r="B65" s="49"/>
      <c r="C65" s="49"/>
      <c r="D65" s="49"/>
      <c r="E65" s="49"/>
      <c r="F65" s="50"/>
      <c r="G65" s="57"/>
      <c r="H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c r="BA65" s="58"/>
      <c r="BB65" s="58"/>
      <c r="BC65" s="58"/>
      <c r="BD65" s="58"/>
      <c r="BE65" s="58"/>
      <c r="BF65" s="58"/>
      <c r="BG65" s="58"/>
      <c r="BH65" s="58"/>
      <c r="BI65" s="58"/>
      <c r="BJ65" s="58"/>
      <c r="BK65" s="58"/>
      <c r="BL65" s="58"/>
      <c r="BM65" s="58"/>
      <c r="BN65" s="59"/>
      <c r="BO65" s="34"/>
      <c r="BP65" s="35"/>
      <c r="BQ65" s="35"/>
      <c r="BR65" s="35"/>
      <c r="BS65" s="35"/>
      <c r="BT65" s="35"/>
      <c r="BU65" s="35"/>
      <c r="BV65" s="35"/>
      <c r="BW65" s="35"/>
      <c r="BX65" s="35"/>
      <c r="BY65" s="35"/>
      <c r="BZ65" s="35"/>
      <c r="CA65" s="35"/>
      <c r="CB65" s="35"/>
      <c r="CC65" s="35"/>
      <c r="CD65" s="35"/>
      <c r="CE65" s="35"/>
      <c r="CF65" s="36"/>
    </row>
    <row r="66" spans="1:84" ht="6.6" customHeight="1" x14ac:dyDescent="0.25">
      <c r="A66" s="48"/>
      <c r="B66" s="49"/>
      <c r="C66" s="49"/>
      <c r="D66" s="49"/>
      <c r="E66" s="49"/>
      <c r="F66" s="50"/>
      <c r="G66" s="57"/>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9"/>
      <c r="BO66" s="34"/>
      <c r="BP66" s="35"/>
      <c r="BQ66" s="35"/>
      <c r="BR66" s="35"/>
      <c r="BS66" s="35"/>
      <c r="BT66" s="35"/>
      <c r="BU66" s="35"/>
      <c r="BV66" s="35"/>
      <c r="BW66" s="35"/>
      <c r="BX66" s="35"/>
      <c r="BY66" s="35"/>
      <c r="BZ66" s="35"/>
      <c r="CA66" s="35"/>
      <c r="CB66" s="35"/>
      <c r="CC66" s="35"/>
      <c r="CD66" s="35"/>
      <c r="CE66" s="35"/>
      <c r="CF66" s="36"/>
    </row>
    <row r="67" spans="1:84" ht="6.6" customHeight="1" x14ac:dyDescent="0.25">
      <c r="A67" s="48"/>
      <c r="B67" s="49"/>
      <c r="C67" s="49"/>
      <c r="D67" s="49"/>
      <c r="E67" s="49"/>
      <c r="F67" s="50"/>
      <c r="G67" s="57"/>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9"/>
      <c r="BO67" s="34"/>
      <c r="BP67" s="35"/>
      <c r="BQ67" s="35"/>
      <c r="BR67" s="35"/>
      <c r="BS67" s="35"/>
      <c r="BT67" s="35"/>
      <c r="BU67" s="35"/>
      <c r="BV67" s="35"/>
      <c r="BW67" s="35"/>
      <c r="BX67" s="35"/>
      <c r="BY67" s="35"/>
      <c r="BZ67" s="35"/>
      <c r="CA67" s="35"/>
      <c r="CB67" s="35"/>
      <c r="CC67" s="35"/>
      <c r="CD67" s="35"/>
      <c r="CE67" s="35"/>
      <c r="CF67" s="36"/>
    </row>
    <row r="68" spans="1:84" ht="6.6" customHeight="1" x14ac:dyDescent="0.25">
      <c r="A68" s="48"/>
      <c r="B68" s="49"/>
      <c r="C68" s="49"/>
      <c r="D68" s="49"/>
      <c r="E68" s="49"/>
      <c r="F68" s="50"/>
      <c r="G68" s="57"/>
      <c r="H68" s="58"/>
      <c r="I68" s="5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9"/>
      <c r="BO68" s="34"/>
      <c r="BP68" s="35"/>
      <c r="BQ68" s="35"/>
      <c r="BR68" s="35"/>
      <c r="BS68" s="35"/>
      <c r="BT68" s="35"/>
      <c r="BU68" s="35"/>
      <c r="BV68" s="35"/>
      <c r="BW68" s="35"/>
      <c r="BX68" s="35"/>
      <c r="BY68" s="35"/>
      <c r="BZ68" s="35"/>
      <c r="CA68" s="35"/>
      <c r="CB68" s="35"/>
      <c r="CC68" s="35"/>
      <c r="CD68" s="35"/>
      <c r="CE68" s="35"/>
      <c r="CF68" s="36"/>
    </row>
    <row r="69" spans="1:84" ht="6.6" customHeight="1" x14ac:dyDescent="0.25">
      <c r="A69" s="48"/>
      <c r="B69" s="49"/>
      <c r="C69" s="49"/>
      <c r="D69" s="49"/>
      <c r="E69" s="49"/>
      <c r="F69" s="50"/>
      <c r="G69" s="57"/>
      <c r="H69" s="58"/>
      <c r="I69" s="5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c r="BA69" s="58"/>
      <c r="BB69" s="58"/>
      <c r="BC69" s="58"/>
      <c r="BD69" s="58"/>
      <c r="BE69" s="58"/>
      <c r="BF69" s="58"/>
      <c r="BG69" s="58"/>
      <c r="BH69" s="58"/>
      <c r="BI69" s="58"/>
      <c r="BJ69" s="58"/>
      <c r="BK69" s="58"/>
      <c r="BL69" s="58"/>
      <c r="BM69" s="58"/>
      <c r="BN69" s="59"/>
      <c r="BO69" s="34"/>
      <c r="BP69" s="35"/>
      <c r="BQ69" s="35"/>
      <c r="BR69" s="35"/>
      <c r="BS69" s="35"/>
      <c r="BT69" s="35"/>
      <c r="BU69" s="35"/>
      <c r="BV69" s="35"/>
      <c r="BW69" s="35"/>
      <c r="BX69" s="35"/>
      <c r="BY69" s="35"/>
      <c r="BZ69" s="35"/>
      <c r="CA69" s="35"/>
      <c r="CB69" s="35"/>
      <c r="CC69" s="35"/>
      <c r="CD69" s="35"/>
      <c r="CE69" s="35"/>
      <c r="CF69" s="36"/>
    </row>
    <row r="70" spans="1:84" ht="6.6" customHeight="1" x14ac:dyDescent="0.25">
      <c r="A70" s="48"/>
      <c r="B70" s="49"/>
      <c r="C70" s="49"/>
      <c r="D70" s="49"/>
      <c r="E70" s="49"/>
      <c r="F70" s="50"/>
      <c r="G70" s="57"/>
      <c r="H70" s="58"/>
      <c r="I70" s="5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c r="BA70" s="58"/>
      <c r="BB70" s="58"/>
      <c r="BC70" s="58"/>
      <c r="BD70" s="58"/>
      <c r="BE70" s="58"/>
      <c r="BF70" s="58"/>
      <c r="BG70" s="58"/>
      <c r="BH70" s="58"/>
      <c r="BI70" s="58"/>
      <c r="BJ70" s="58"/>
      <c r="BK70" s="58"/>
      <c r="BL70" s="58"/>
      <c r="BM70" s="58"/>
      <c r="BN70" s="59"/>
      <c r="BO70" s="34"/>
      <c r="BP70" s="35"/>
      <c r="BQ70" s="35"/>
      <c r="BR70" s="35"/>
      <c r="BS70" s="35"/>
      <c r="BT70" s="35"/>
      <c r="BU70" s="35"/>
      <c r="BV70" s="35"/>
      <c r="BW70" s="35"/>
      <c r="BX70" s="35"/>
      <c r="BY70" s="35"/>
      <c r="BZ70" s="35"/>
      <c r="CA70" s="35"/>
      <c r="CB70" s="35"/>
      <c r="CC70" s="35"/>
      <c r="CD70" s="35"/>
      <c r="CE70" s="35"/>
      <c r="CF70" s="36"/>
    </row>
    <row r="71" spans="1:84" ht="6.6" customHeight="1" x14ac:dyDescent="0.25">
      <c r="A71" s="48"/>
      <c r="B71" s="49"/>
      <c r="C71" s="49"/>
      <c r="D71" s="49"/>
      <c r="E71" s="49"/>
      <c r="F71" s="50"/>
      <c r="G71" s="57"/>
      <c r="H71" s="58"/>
      <c r="I71" s="5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c r="BA71" s="58"/>
      <c r="BB71" s="58"/>
      <c r="BC71" s="58"/>
      <c r="BD71" s="58"/>
      <c r="BE71" s="58"/>
      <c r="BF71" s="58"/>
      <c r="BG71" s="58"/>
      <c r="BH71" s="58"/>
      <c r="BI71" s="58"/>
      <c r="BJ71" s="58"/>
      <c r="BK71" s="58"/>
      <c r="BL71" s="58"/>
      <c r="BM71" s="58"/>
      <c r="BN71" s="59"/>
      <c r="BO71" s="34"/>
      <c r="BP71" s="35"/>
      <c r="BQ71" s="35"/>
      <c r="BR71" s="35"/>
      <c r="BS71" s="35"/>
      <c r="BT71" s="35"/>
      <c r="BU71" s="35"/>
      <c r="BV71" s="35"/>
      <c r="BW71" s="35"/>
      <c r="BX71" s="35"/>
      <c r="BY71" s="35"/>
      <c r="BZ71" s="35"/>
      <c r="CA71" s="35"/>
      <c r="CB71" s="35"/>
      <c r="CC71" s="35"/>
      <c r="CD71" s="35"/>
      <c r="CE71" s="35"/>
      <c r="CF71" s="36"/>
    </row>
    <row r="72" spans="1:84" ht="6.6" customHeight="1" x14ac:dyDescent="0.25">
      <c r="A72" s="48"/>
      <c r="B72" s="49"/>
      <c r="C72" s="49"/>
      <c r="D72" s="49"/>
      <c r="E72" s="49"/>
      <c r="F72" s="50"/>
      <c r="G72" s="57"/>
      <c r="H72" s="58"/>
      <c r="I72" s="5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c r="BA72" s="58"/>
      <c r="BB72" s="58"/>
      <c r="BC72" s="58"/>
      <c r="BD72" s="58"/>
      <c r="BE72" s="58"/>
      <c r="BF72" s="58"/>
      <c r="BG72" s="58"/>
      <c r="BH72" s="58"/>
      <c r="BI72" s="58"/>
      <c r="BJ72" s="58"/>
      <c r="BK72" s="58"/>
      <c r="BL72" s="58"/>
      <c r="BM72" s="58"/>
      <c r="BN72" s="59"/>
      <c r="BO72" s="34"/>
      <c r="BP72" s="35"/>
      <c r="BQ72" s="35"/>
      <c r="BR72" s="35"/>
      <c r="BS72" s="35"/>
      <c r="BT72" s="35"/>
      <c r="BU72" s="35"/>
      <c r="BV72" s="35"/>
      <c r="BW72" s="35"/>
      <c r="BX72" s="35"/>
      <c r="BY72" s="35"/>
      <c r="BZ72" s="35"/>
      <c r="CA72" s="35"/>
      <c r="CB72" s="35"/>
      <c r="CC72" s="35"/>
      <c r="CD72" s="35"/>
      <c r="CE72" s="35"/>
      <c r="CF72" s="36"/>
    </row>
    <row r="73" spans="1:84" ht="6.6" customHeight="1" x14ac:dyDescent="0.25">
      <c r="A73" s="48"/>
      <c r="B73" s="49"/>
      <c r="C73" s="49"/>
      <c r="D73" s="49"/>
      <c r="E73" s="49"/>
      <c r="F73" s="50"/>
      <c r="G73" s="57"/>
      <c r="H73" s="58"/>
      <c r="I73" s="5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c r="BA73" s="58"/>
      <c r="BB73" s="58"/>
      <c r="BC73" s="58"/>
      <c r="BD73" s="58"/>
      <c r="BE73" s="58"/>
      <c r="BF73" s="58"/>
      <c r="BG73" s="58"/>
      <c r="BH73" s="58"/>
      <c r="BI73" s="58"/>
      <c r="BJ73" s="58"/>
      <c r="BK73" s="58"/>
      <c r="BL73" s="58"/>
      <c r="BM73" s="58"/>
      <c r="BN73" s="59"/>
      <c r="BO73" s="34"/>
      <c r="BP73" s="35"/>
      <c r="BQ73" s="35"/>
      <c r="BR73" s="35"/>
      <c r="BS73" s="35"/>
      <c r="BT73" s="35"/>
      <c r="BU73" s="35"/>
      <c r="BV73" s="35"/>
      <c r="BW73" s="35"/>
      <c r="BX73" s="35"/>
      <c r="BY73" s="35"/>
      <c r="BZ73" s="35"/>
      <c r="CA73" s="35"/>
      <c r="CB73" s="35"/>
      <c r="CC73" s="35"/>
      <c r="CD73" s="35"/>
      <c r="CE73" s="35"/>
      <c r="CF73" s="36"/>
    </row>
    <row r="74" spans="1:84" ht="6.6" customHeight="1" x14ac:dyDescent="0.25">
      <c r="A74" s="48"/>
      <c r="B74" s="49"/>
      <c r="C74" s="49"/>
      <c r="D74" s="49"/>
      <c r="E74" s="49"/>
      <c r="F74" s="50"/>
      <c r="G74" s="57"/>
      <c r="H74" s="58"/>
      <c r="I74" s="5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c r="BA74" s="58"/>
      <c r="BB74" s="58"/>
      <c r="BC74" s="58"/>
      <c r="BD74" s="58"/>
      <c r="BE74" s="58"/>
      <c r="BF74" s="58"/>
      <c r="BG74" s="58"/>
      <c r="BH74" s="58"/>
      <c r="BI74" s="58"/>
      <c r="BJ74" s="58"/>
      <c r="BK74" s="58"/>
      <c r="BL74" s="58"/>
      <c r="BM74" s="58"/>
      <c r="BN74" s="59"/>
      <c r="BO74" s="34"/>
      <c r="BP74" s="35"/>
      <c r="BQ74" s="35"/>
      <c r="BR74" s="35"/>
      <c r="BS74" s="35"/>
      <c r="BT74" s="35"/>
      <c r="BU74" s="35"/>
      <c r="BV74" s="35"/>
      <c r="BW74" s="35"/>
      <c r="BX74" s="35"/>
      <c r="BY74" s="35"/>
      <c r="BZ74" s="35"/>
      <c r="CA74" s="35"/>
      <c r="CB74" s="35"/>
      <c r="CC74" s="35"/>
      <c r="CD74" s="35"/>
      <c r="CE74" s="35"/>
      <c r="CF74" s="36"/>
    </row>
    <row r="75" spans="1:84" ht="6.6" customHeight="1" x14ac:dyDescent="0.25">
      <c r="A75" s="48"/>
      <c r="B75" s="49"/>
      <c r="C75" s="49"/>
      <c r="D75" s="49"/>
      <c r="E75" s="49"/>
      <c r="F75" s="50"/>
      <c r="G75" s="57"/>
      <c r="H75" s="58"/>
      <c r="I75" s="5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c r="BA75" s="58"/>
      <c r="BB75" s="58"/>
      <c r="BC75" s="58"/>
      <c r="BD75" s="58"/>
      <c r="BE75" s="58"/>
      <c r="BF75" s="58"/>
      <c r="BG75" s="58"/>
      <c r="BH75" s="58"/>
      <c r="BI75" s="58"/>
      <c r="BJ75" s="58"/>
      <c r="BK75" s="58"/>
      <c r="BL75" s="58"/>
      <c r="BM75" s="58"/>
      <c r="BN75" s="59"/>
      <c r="BO75" s="34"/>
      <c r="BP75" s="35"/>
      <c r="BQ75" s="35"/>
      <c r="BR75" s="35"/>
      <c r="BS75" s="35"/>
      <c r="BT75" s="35"/>
      <c r="BU75" s="35"/>
      <c r="BV75" s="35"/>
      <c r="BW75" s="35"/>
      <c r="BX75" s="35"/>
      <c r="BY75" s="35"/>
      <c r="BZ75" s="35"/>
      <c r="CA75" s="35"/>
      <c r="CB75" s="35"/>
      <c r="CC75" s="35"/>
      <c r="CD75" s="35"/>
      <c r="CE75" s="35"/>
      <c r="CF75" s="36"/>
    </row>
    <row r="76" spans="1:84" ht="6.6" customHeight="1" x14ac:dyDescent="0.25">
      <c r="A76" s="48"/>
      <c r="B76" s="49"/>
      <c r="C76" s="49"/>
      <c r="D76" s="49"/>
      <c r="E76" s="49"/>
      <c r="F76" s="50"/>
      <c r="G76" s="57"/>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c r="BM76" s="58"/>
      <c r="BN76" s="59"/>
      <c r="BO76" s="34"/>
      <c r="BP76" s="35"/>
      <c r="BQ76" s="35"/>
      <c r="BR76" s="35"/>
      <c r="BS76" s="35"/>
      <c r="BT76" s="35"/>
      <c r="BU76" s="35"/>
      <c r="BV76" s="35"/>
      <c r="BW76" s="35"/>
      <c r="BX76" s="35"/>
      <c r="BY76" s="35"/>
      <c r="BZ76" s="35"/>
      <c r="CA76" s="35"/>
      <c r="CB76" s="35"/>
      <c r="CC76" s="35"/>
      <c r="CD76" s="35"/>
      <c r="CE76" s="35"/>
      <c r="CF76" s="36"/>
    </row>
    <row r="77" spans="1:84" ht="6.6" customHeight="1" x14ac:dyDescent="0.25">
      <c r="A77" s="48"/>
      <c r="B77" s="49"/>
      <c r="C77" s="49"/>
      <c r="D77" s="49"/>
      <c r="E77" s="49"/>
      <c r="F77" s="50"/>
      <c r="G77" s="57"/>
      <c r="H77" s="58"/>
      <c r="I77" s="5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c r="BA77" s="58"/>
      <c r="BB77" s="58"/>
      <c r="BC77" s="58"/>
      <c r="BD77" s="58"/>
      <c r="BE77" s="58"/>
      <c r="BF77" s="58"/>
      <c r="BG77" s="58"/>
      <c r="BH77" s="58"/>
      <c r="BI77" s="58"/>
      <c r="BJ77" s="58"/>
      <c r="BK77" s="58"/>
      <c r="BL77" s="58"/>
      <c r="BM77" s="58"/>
      <c r="BN77" s="59"/>
      <c r="BO77" s="34"/>
      <c r="BP77" s="35"/>
      <c r="BQ77" s="35"/>
      <c r="BR77" s="35"/>
      <c r="BS77" s="35"/>
      <c r="BT77" s="35"/>
      <c r="BU77" s="35"/>
      <c r="BV77" s="35"/>
      <c r="BW77" s="35"/>
      <c r="BX77" s="35"/>
      <c r="BY77" s="35"/>
      <c r="BZ77" s="35"/>
      <c r="CA77" s="35"/>
      <c r="CB77" s="35"/>
      <c r="CC77" s="35"/>
      <c r="CD77" s="35"/>
      <c r="CE77" s="35"/>
      <c r="CF77" s="36"/>
    </row>
    <row r="78" spans="1:84" ht="6.6" customHeight="1" x14ac:dyDescent="0.25">
      <c r="A78" s="51"/>
      <c r="B78" s="52"/>
      <c r="C78" s="52"/>
      <c r="D78" s="52"/>
      <c r="E78" s="52"/>
      <c r="F78" s="53"/>
      <c r="G78" s="60"/>
      <c r="H78" s="61"/>
      <c r="I78" s="61"/>
      <c r="J78" s="61"/>
      <c r="K78" s="61"/>
      <c r="L78" s="61"/>
      <c r="M78" s="61"/>
      <c r="N78" s="61"/>
      <c r="O78" s="61"/>
      <c r="P78" s="61"/>
      <c r="Q78" s="61"/>
      <c r="R78" s="61"/>
      <c r="S78" s="61"/>
      <c r="T78" s="61"/>
      <c r="U78" s="61"/>
      <c r="V78" s="61"/>
      <c r="W78" s="61"/>
      <c r="X78" s="61"/>
      <c r="Y78" s="61"/>
      <c r="Z78" s="61"/>
      <c r="AA78" s="61"/>
      <c r="AB78" s="61"/>
      <c r="AC78" s="61"/>
      <c r="AD78" s="61"/>
      <c r="AE78" s="61"/>
      <c r="AF78" s="61"/>
      <c r="AG78" s="61"/>
      <c r="AH78" s="61"/>
      <c r="AI78" s="61"/>
      <c r="AJ78" s="61"/>
      <c r="AK78" s="61"/>
      <c r="AL78" s="61"/>
      <c r="AM78" s="61"/>
      <c r="AN78" s="61"/>
      <c r="AO78" s="61"/>
      <c r="AP78" s="61"/>
      <c r="AQ78" s="61"/>
      <c r="AR78" s="61"/>
      <c r="AS78" s="61"/>
      <c r="AT78" s="61"/>
      <c r="AU78" s="61"/>
      <c r="AV78" s="61"/>
      <c r="AW78" s="61"/>
      <c r="AX78" s="61"/>
      <c r="AY78" s="61"/>
      <c r="AZ78" s="61"/>
      <c r="BA78" s="61"/>
      <c r="BB78" s="61"/>
      <c r="BC78" s="61"/>
      <c r="BD78" s="61"/>
      <c r="BE78" s="61"/>
      <c r="BF78" s="61"/>
      <c r="BG78" s="61"/>
      <c r="BH78" s="61"/>
      <c r="BI78" s="61"/>
      <c r="BJ78" s="61"/>
      <c r="BK78" s="61"/>
      <c r="BL78" s="61"/>
      <c r="BM78" s="61"/>
      <c r="BN78" s="62"/>
      <c r="BO78" s="37"/>
      <c r="BP78" s="38"/>
      <c r="BQ78" s="38"/>
      <c r="BR78" s="38"/>
      <c r="BS78" s="38"/>
      <c r="BT78" s="38"/>
      <c r="BU78" s="38"/>
      <c r="BV78" s="38"/>
      <c r="BW78" s="38"/>
      <c r="BX78" s="38"/>
      <c r="BY78" s="38"/>
      <c r="BZ78" s="38"/>
      <c r="CA78" s="38"/>
      <c r="CB78" s="38"/>
      <c r="CC78" s="38"/>
      <c r="CD78" s="38"/>
      <c r="CE78" s="38"/>
      <c r="CF78" s="39"/>
    </row>
    <row r="79" spans="1:84" ht="6.6" customHeight="1" x14ac:dyDescent="0.25">
      <c r="A79" s="45" t="s">
        <v>17</v>
      </c>
      <c r="B79" s="46"/>
      <c r="C79" s="46"/>
      <c r="D79" s="46"/>
      <c r="E79" s="46"/>
      <c r="F79" s="47"/>
      <c r="G79" s="54" t="str">
        <f>IFERROR(IF(VLOOKUP($CJ$7,'2° PERIODO'!$A$7:$BV$36,$CG$60)="","",VLOOKUP($CJ$7,'2° PERIODO'!$A$7:$BV$36,$CG$60)),"")</f>
        <v>¡Buen trabajo Leydi! Vemos que te gusta mucho venir al colegio. Usas el lápiz, las tijeras y la goma de manera correcta. Reconoces muy bien las partes del rostro y logras dibujarlo muy bien. ¡Estamos muy orgullosas de ti! 
Mamita y papito, Leydi es una niña con mucho potencial y vemos un gran avance en su comportamiento y habilidades en los últimos meses, sin embargo, hay que reforzar en casa las rutinas de alimentación y de orden; como Leydi faltó mucho este semestre, es importante cuidar su salud. Seguimos mejorando las habilidades de socilización y comunicativas el próximo semestre con mucha motivación y cariño.</v>
      </c>
      <c r="H79" s="55"/>
      <c r="I79" s="55"/>
      <c r="J79" s="55"/>
      <c r="K79" s="55"/>
      <c r="L79" s="55"/>
      <c r="M79" s="55"/>
      <c r="N79" s="55"/>
      <c r="O79" s="55"/>
      <c r="P79" s="55"/>
      <c r="Q79" s="55"/>
      <c r="R79" s="55"/>
      <c r="S79" s="55"/>
      <c r="T79" s="55"/>
      <c r="U79" s="55"/>
      <c r="V79" s="55"/>
      <c r="W79" s="55"/>
      <c r="X79" s="55"/>
      <c r="Y79" s="55"/>
      <c r="Z79" s="55"/>
      <c r="AA79" s="55"/>
      <c r="AB79" s="55"/>
      <c r="AC79" s="55"/>
      <c r="AD79" s="55"/>
      <c r="AE79" s="55"/>
      <c r="AF79" s="55"/>
      <c r="AG79" s="55"/>
      <c r="AH79" s="55"/>
      <c r="AI79" s="55"/>
      <c r="AJ79" s="55"/>
      <c r="AK79" s="55"/>
      <c r="AL79" s="55"/>
      <c r="AM79" s="55"/>
      <c r="AN79" s="55"/>
      <c r="AO79" s="55"/>
      <c r="AP79" s="55"/>
      <c r="AQ79" s="55"/>
      <c r="AR79" s="55"/>
      <c r="AS79" s="55"/>
      <c r="AT79" s="55"/>
      <c r="AU79" s="55"/>
      <c r="AV79" s="55"/>
      <c r="AW79" s="55"/>
      <c r="AX79" s="55"/>
      <c r="AY79" s="55"/>
      <c r="AZ79" s="55"/>
      <c r="BA79" s="55"/>
      <c r="BB79" s="55"/>
      <c r="BC79" s="55"/>
      <c r="BD79" s="55"/>
      <c r="BE79" s="55"/>
      <c r="BF79" s="55"/>
      <c r="BG79" s="55"/>
      <c r="BH79" s="55"/>
      <c r="BI79" s="55"/>
      <c r="BJ79" s="55"/>
      <c r="BK79" s="55"/>
      <c r="BL79" s="55"/>
      <c r="BM79" s="55"/>
      <c r="BN79" s="56"/>
      <c r="BO79" s="31"/>
      <c r="BP79" s="32"/>
      <c r="BQ79" s="32"/>
      <c r="BR79" s="32"/>
      <c r="BS79" s="32"/>
      <c r="BT79" s="32"/>
      <c r="BU79" s="32"/>
      <c r="BV79" s="32"/>
      <c r="BW79" s="32"/>
      <c r="BX79" s="32"/>
      <c r="BY79" s="32"/>
      <c r="BZ79" s="32"/>
      <c r="CA79" s="32"/>
      <c r="CB79" s="32"/>
      <c r="CC79" s="32"/>
      <c r="CD79" s="32"/>
      <c r="CE79" s="32"/>
      <c r="CF79" s="33"/>
    </row>
    <row r="80" spans="1:84" ht="6.6" customHeight="1" x14ac:dyDescent="0.25">
      <c r="A80" s="48"/>
      <c r="B80" s="49"/>
      <c r="C80" s="49"/>
      <c r="D80" s="49"/>
      <c r="E80" s="49"/>
      <c r="F80" s="50"/>
      <c r="G80" s="57"/>
      <c r="H80" s="58"/>
      <c r="I80" s="5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c r="BA80" s="58"/>
      <c r="BB80" s="58"/>
      <c r="BC80" s="58"/>
      <c r="BD80" s="58"/>
      <c r="BE80" s="58"/>
      <c r="BF80" s="58"/>
      <c r="BG80" s="58"/>
      <c r="BH80" s="58"/>
      <c r="BI80" s="58"/>
      <c r="BJ80" s="58"/>
      <c r="BK80" s="58"/>
      <c r="BL80" s="58"/>
      <c r="BM80" s="58"/>
      <c r="BN80" s="59"/>
      <c r="BO80" s="34"/>
      <c r="BP80" s="35"/>
      <c r="BQ80" s="35"/>
      <c r="BR80" s="35"/>
      <c r="BS80" s="35"/>
      <c r="BT80" s="35"/>
      <c r="BU80" s="35"/>
      <c r="BV80" s="35"/>
      <c r="BW80" s="35"/>
      <c r="BX80" s="35"/>
      <c r="BY80" s="35"/>
      <c r="BZ80" s="35"/>
      <c r="CA80" s="35"/>
      <c r="CB80" s="35"/>
      <c r="CC80" s="35"/>
      <c r="CD80" s="35"/>
      <c r="CE80" s="35"/>
      <c r="CF80" s="36"/>
    </row>
    <row r="81" spans="1:85" ht="6.6" customHeight="1" x14ac:dyDescent="0.25">
      <c r="A81" s="48"/>
      <c r="B81" s="49"/>
      <c r="C81" s="49"/>
      <c r="D81" s="49"/>
      <c r="E81" s="49"/>
      <c r="F81" s="50"/>
      <c r="G81" s="57"/>
      <c r="H81" s="58"/>
      <c r="I81" s="5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c r="BA81" s="58"/>
      <c r="BB81" s="58"/>
      <c r="BC81" s="58"/>
      <c r="BD81" s="58"/>
      <c r="BE81" s="58"/>
      <c r="BF81" s="58"/>
      <c r="BG81" s="58"/>
      <c r="BH81" s="58"/>
      <c r="BI81" s="58"/>
      <c r="BJ81" s="58"/>
      <c r="BK81" s="58"/>
      <c r="BL81" s="58"/>
      <c r="BM81" s="58"/>
      <c r="BN81" s="59"/>
      <c r="BO81" s="34"/>
      <c r="BP81" s="35"/>
      <c r="BQ81" s="35"/>
      <c r="BR81" s="35"/>
      <c r="BS81" s="35"/>
      <c r="BT81" s="35"/>
      <c r="BU81" s="35"/>
      <c r="BV81" s="35"/>
      <c r="BW81" s="35"/>
      <c r="BX81" s="35"/>
      <c r="BY81" s="35"/>
      <c r="BZ81" s="35"/>
      <c r="CA81" s="35"/>
      <c r="CB81" s="35"/>
      <c r="CC81" s="35"/>
      <c r="CD81" s="35"/>
      <c r="CE81" s="35"/>
      <c r="CF81" s="36"/>
    </row>
    <row r="82" spans="1:85" ht="6.6" customHeight="1" x14ac:dyDescent="0.25">
      <c r="A82" s="48"/>
      <c r="B82" s="49"/>
      <c r="C82" s="49"/>
      <c r="D82" s="49"/>
      <c r="E82" s="49"/>
      <c r="F82" s="50"/>
      <c r="G82" s="57"/>
      <c r="H82" s="58"/>
      <c r="I82" s="5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c r="BA82" s="58"/>
      <c r="BB82" s="58"/>
      <c r="BC82" s="58"/>
      <c r="BD82" s="58"/>
      <c r="BE82" s="58"/>
      <c r="BF82" s="58"/>
      <c r="BG82" s="58"/>
      <c r="BH82" s="58"/>
      <c r="BI82" s="58"/>
      <c r="BJ82" s="58"/>
      <c r="BK82" s="58"/>
      <c r="BL82" s="58"/>
      <c r="BM82" s="58"/>
      <c r="BN82" s="59"/>
      <c r="BO82" s="34"/>
      <c r="BP82" s="35"/>
      <c r="BQ82" s="35"/>
      <c r="BR82" s="35"/>
      <c r="BS82" s="35"/>
      <c r="BT82" s="35"/>
      <c r="BU82" s="35"/>
      <c r="BV82" s="35"/>
      <c r="BW82" s="35"/>
      <c r="BX82" s="35"/>
      <c r="BY82" s="35"/>
      <c r="BZ82" s="35"/>
      <c r="CA82" s="35"/>
      <c r="CB82" s="35"/>
      <c r="CC82" s="35"/>
      <c r="CD82" s="35"/>
      <c r="CE82" s="35"/>
      <c r="CF82" s="36"/>
    </row>
    <row r="83" spans="1:85" ht="6.6" customHeight="1" x14ac:dyDescent="0.25">
      <c r="A83" s="48"/>
      <c r="B83" s="49"/>
      <c r="C83" s="49"/>
      <c r="D83" s="49"/>
      <c r="E83" s="49"/>
      <c r="F83" s="50"/>
      <c r="G83" s="57"/>
      <c r="H83" s="58"/>
      <c r="I83" s="5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c r="BA83" s="58"/>
      <c r="BB83" s="58"/>
      <c r="BC83" s="58"/>
      <c r="BD83" s="58"/>
      <c r="BE83" s="58"/>
      <c r="BF83" s="58"/>
      <c r="BG83" s="58"/>
      <c r="BH83" s="58"/>
      <c r="BI83" s="58"/>
      <c r="BJ83" s="58"/>
      <c r="BK83" s="58"/>
      <c r="BL83" s="58"/>
      <c r="BM83" s="58"/>
      <c r="BN83" s="59"/>
      <c r="BO83" s="34"/>
      <c r="BP83" s="35"/>
      <c r="BQ83" s="35"/>
      <c r="BR83" s="35"/>
      <c r="BS83" s="35"/>
      <c r="BT83" s="35"/>
      <c r="BU83" s="35"/>
      <c r="BV83" s="35"/>
      <c r="BW83" s="35"/>
      <c r="BX83" s="35"/>
      <c r="BY83" s="35"/>
      <c r="BZ83" s="35"/>
      <c r="CA83" s="35"/>
      <c r="CB83" s="35"/>
      <c r="CC83" s="35"/>
      <c r="CD83" s="35"/>
      <c r="CE83" s="35"/>
      <c r="CF83" s="36"/>
    </row>
    <row r="84" spans="1:85" ht="6.6" customHeight="1" x14ac:dyDescent="0.25">
      <c r="A84" s="48"/>
      <c r="B84" s="49"/>
      <c r="C84" s="49"/>
      <c r="D84" s="49"/>
      <c r="E84" s="49"/>
      <c r="F84" s="50"/>
      <c r="G84" s="57"/>
      <c r="H84" s="58"/>
      <c r="I84" s="5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c r="BA84" s="58"/>
      <c r="BB84" s="58"/>
      <c r="BC84" s="58"/>
      <c r="BD84" s="58"/>
      <c r="BE84" s="58"/>
      <c r="BF84" s="58"/>
      <c r="BG84" s="58"/>
      <c r="BH84" s="58"/>
      <c r="BI84" s="58"/>
      <c r="BJ84" s="58"/>
      <c r="BK84" s="58"/>
      <c r="BL84" s="58"/>
      <c r="BM84" s="58"/>
      <c r="BN84" s="59"/>
      <c r="BO84" s="34"/>
      <c r="BP84" s="35"/>
      <c r="BQ84" s="35"/>
      <c r="BR84" s="35"/>
      <c r="BS84" s="35"/>
      <c r="BT84" s="35"/>
      <c r="BU84" s="35"/>
      <c r="BV84" s="35"/>
      <c r="BW84" s="35"/>
      <c r="BX84" s="35"/>
      <c r="BY84" s="35"/>
      <c r="BZ84" s="35"/>
      <c r="CA84" s="35"/>
      <c r="CB84" s="35"/>
      <c r="CC84" s="35"/>
      <c r="CD84" s="35"/>
      <c r="CE84" s="35"/>
      <c r="CF84" s="36"/>
    </row>
    <row r="85" spans="1:85" ht="6.6" customHeight="1" x14ac:dyDescent="0.25">
      <c r="A85" s="48"/>
      <c r="B85" s="49"/>
      <c r="C85" s="49"/>
      <c r="D85" s="49"/>
      <c r="E85" s="49"/>
      <c r="F85" s="50"/>
      <c r="G85" s="57"/>
      <c r="H85" s="58"/>
      <c r="I85" s="5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c r="BA85" s="58"/>
      <c r="BB85" s="58"/>
      <c r="BC85" s="58"/>
      <c r="BD85" s="58"/>
      <c r="BE85" s="58"/>
      <c r="BF85" s="58"/>
      <c r="BG85" s="58"/>
      <c r="BH85" s="58"/>
      <c r="BI85" s="58"/>
      <c r="BJ85" s="58"/>
      <c r="BK85" s="58"/>
      <c r="BL85" s="58"/>
      <c r="BM85" s="58"/>
      <c r="BN85" s="59"/>
      <c r="BO85" s="34"/>
      <c r="BP85" s="35"/>
      <c r="BQ85" s="35"/>
      <c r="BR85" s="35"/>
      <c r="BS85" s="35"/>
      <c r="BT85" s="35"/>
      <c r="BU85" s="35"/>
      <c r="BV85" s="35"/>
      <c r="BW85" s="35"/>
      <c r="BX85" s="35"/>
      <c r="BY85" s="35"/>
      <c r="BZ85" s="35"/>
      <c r="CA85" s="35"/>
      <c r="CB85" s="35"/>
      <c r="CC85" s="35"/>
      <c r="CD85" s="35"/>
      <c r="CE85" s="35"/>
      <c r="CF85" s="36"/>
    </row>
    <row r="86" spans="1:85" ht="6.6" customHeight="1" x14ac:dyDescent="0.25">
      <c r="A86" s="48"/>
      <c r="B86" s="49"/>
      <c r="C86" s="49"/>
      <c r="D86" s="49"/>
      <c r="E86" s="49"/>
      <c r="F86" s="50"/>
      <c r="G86" s="57"/>
      <c r="H86" s="58"/>
      <c r="I86" s="5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c r="BA86" s="58"/>
      <c r="BB86" s="58"/>
      <c r="BC86" s="58"/>
      <c r="BD86" s="58"/>
      <c r="BE86" s="58"/>
      <c r="BF86" s="58"/>
      <c r="BG86" s="58"/>
      <c r="BH86" s="58"/>
      <c r="BI86" s="58"/>
      <c r="BJ86" s="58"/>
      <c r="BK86" s="58"/>
      <c r="BL86" s="58"/>
      <c r="BM86" s="58"/>
      <c r="BN86" s="59"/>
      <c r="BO86" s="34"/>
      <c r="BP86" s="35"/>
      <c r="BQ86" s="35"/>
      <c r="BR86" s="35"/>
      <c r="BS86" s="35"/>
      <c r="BT86" s="35"/>
      <c r="BU86" s="35"/>
      <c r="BV86" s="35"/>
      <c r="BW86" s="35"/>
      <c r="BX86" s="35"/>
      <c r="BY86" s="35"/>
      <c r="BZ86" s="35"/>
      <c r="CA86" s="35"/>
      <c r="CB86" s="35"/>
      <c r="CC86" s="35"/>
      <c r="CD86" s="35"/>
      <c r="CE86" s="35"/>
      <c r="CF86" s="36"/>
    </row>
    <row r="87" spans="1:85" ht="6.6" customHeight="1" x14ac:dyDescent="0.25">
      <c r="A87" s="48"/>
      <c r="B87" s="49"/>
      <c r="C87" s="49"/>
      <c r="D87" s="49"/>
      <c r="E87" s="49"/>
      <c r="F87" s="50"/>
      <c r="G87" s="57"/>
      <c r="H87" s="58"/>
      <c r="I87" s="5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c r="BA87" s="58"/>
      <c r="BB87" s="58"/>
      <c r="BC87" s="58"/>
      <c r="BD87" s="58"/>
      <c r="BE87" s="58"/>
      <c r="BF87" s="58"/>
      <c r="BG87" s="58"/>
      <c r="BH87" s="58"/>
      <c r="BI87" s="58"/>
      <c r="BJ87" s="58"/>
      <c r="BK87" s="58"/>
      <c r="BL87" s="58"/>
      <c r="BM87" s="58"/>
      <c r="BN87" s="59"/>
      <c r="BO87" s="34"/>
      <c r="BP87" s="35"/>
      <c r="BQ87" s="35"/>
      <c r="BR87" s="35"/>
      <c r="BS87" s="35"/>
      <c r="BT87" s="35"/>
      <c r="BU87" s="35"/>
      <c r="BV87" s="35"/>
      <c r="BW87" s="35"/>
      <c r="BX87" s="35"/>
      <c r="BY87" s="35"/>
      <c r="BZ87" s="35"/>
      <c r="CA87" s="35"/>
      <c r="CB87" s="35"/>
      <c r="CC87" s="35"/>
      <c r="CD87" s="35"/>
      <c r="CE87" s="35"/>
      <c r="CF87" s="36"/>
    </row>
    <row r="88" spans="1:85" ht="6.6" customHeight="1" x14ac:dyDescent="0.25">
      <c r="A88" s="48"/>
      <c r="B88" s="49"/>
      <c r="C88" s="49"/>
      <c r="D88" s="49"/>
      <c r="E88" s="49"/>
      <c r="F88" s="50"/>
      <c r="G88" s="57"/>
      <c r="H88" s="58"/>
      <c r="I88" s="5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c r="BA88" s="58"/>
      <c r="BB88" s="58"/>
      <c r="BC88" s="58"/>
      <c r="BD88" s="58"/>
      <c r="BE88" s="58"/>
      <c r="BF88" s="58"/>
      <c r="BG88" s="58"/>
      <c r="BH88" s="58"/>
      <c r="BI88" s="58"/>
      <c r="BJ88" s="58"/>
      <c r="BK88" s="58"/>
      <c r="BL88" s="58"/>
      <c r="BM88" s="58"/>
      <c r="BN88" s="59"/>
      <c r="BO88" s="34"/>
      <c r="BP88" s="35"/>
      <c r="BQ88" s="35"/>
      <c r="BR88" s="35"/>
      <c r="BS88" s="35"/>
      <c r="BT88" s="35"/>
      <c r="BU88" s="35"/>
      <c r="BV88" s="35"/>
      <c r="BW88" s="35"/>
      <c r="BX88" s="35"/>
      <c r="BY88" s="35"/>
      <c r="BZ88" s="35"/>
      <c r="CA88" s="35"/>
      <c r="CB88" s="35"/>
      <c r="CC88" s="35"/>
      <c r="CD88" s="35"/>
      <c r="CE88" s="35"/>
      <c r="CF88" s="36"/>
    </row>
    <row r="89" spans="1:85" ht="6.6" customHeight="1" x14ac:dyDescent="0.25">
      <c r="A89" s="48"/>
      <c r="B89" s="49"/>
      <c r="C89" s="49"/>
      <c r="D89" s="49"/>
      <c r="E89" s="49"/>
      <c r="F89" s="50"/>
      <c r="G89" s="57"/>
      <c r="H89" s="58"/>
      <c r="I89" s="5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c r="BA89" s="58"/>
      <c r="BB89" s="58"/>
      <c r="BC89" s="58"/>
      <c r="BD89" s="58"/>
      <c r="BE89" s="58"/>
      <c r="BF89" s="58"/>
      <c r="BG89" s="58"/>
      <c r="BH89" s="58"/>
      <c r="BI89" s="58"/>
      <c r="BJ89" s="58"/>
      <c r="BK89" s="58"/>
      <c r="BL89" s="58"/>
      <c r="BM89" s="58"/>
      <c r="BN89" s="59"/>
      <c r="BO89" s="34"/>
      <c r="BP89" s="35"/>
      <c r="BQ89" s="35"/>
      <c r="BR89" s="35"/>
      <c r="BS89" s="35"/>
      <c r="BT89" s="35"/>
      <c r="BU89" s="35"/>
      <c r="BV89" s="35"/>
      <c r="BW89" s="35"/>
      <c r="BX89" s="35"/>
      <c r="BY89" s="35"/>
      <c r="BZ89" s="35"/>
      <c r="CA89" s="35"/>
      <c r="CB89" s="35"/>
      <c r="CC89" s="35"/>
      <c r="CD89" s="35"/>
      <c r="CE89" s="35"/>
      <c r="CF89" s="36"/>
    </row>
    <row r="90" spans="1:85" ht="6.6" customHeight="1" x14ac:dyDescent="0.25">
      <c r="A90" s="48"/>
      <c r="B90" s="49"/>
      <c r="C90" s="49"/>
      <c r="D90" s="49"/>
      <c r="E90" s="49"/>
      <c r="F90" s="50"/>
      <c r="G90" s="57"/>
      <c r="H90" s="58"/>
      <c r="I90" s="5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c r="BA90" s="58"/>
      <c r="BB90" s="58"/>
      <c r="BC90" s="58"/>
      <c r="BD90" s="58"/>
      <c r="BE90" s="58"/>
      <c r="BF90" s="58"/>
      <c r="BG90" s="58"/>
      <c r="BH90" s="58"/>
      <c r="BI90" s="58"/>
      <c r="BJ90" s="58"/>
      <c r="BK90" s="58"/>
      <c r="BL90" s="58"/>
      <c r="BM90" s="58"/>
      <c r="BN90" s="59"/>
      <c r="BO90" s="34"/>
      <c r="BP90" s="35"/>
      <c r="BQ90" s="35"/>
      <c r="BR90" s="35"/>
      <c r="BS90" s="35"/>
      <c r="BT90" s="35"/>
      <c r="BU90" s="35"/>
      <c r="BV90" s="35"/>
      <c r="BW90" s="35"/>
      <c r="BX90" s="35"/>
      <c r="BY90" s="35"/>
      <c r="BZ90" s="35"/>
      <c r="CA90" s="35"/>
      <c r="CB90" s="35"/>
      <c r="CC90" s="35"/>
      <c r="CD90" s="35"/>
      <c r="CE90" s="35"/>
      <c r="CF90" s="36"/>
    </row>
    <row r="91" spans="1:85" ht="6.6" customHeight="1" x14ac:dyDescent="0.25">
      <c r="A91" s="48"/>
      <c r="B91" s="49"/>
      <c r="C91" s="49"/>
      <c r="D91" s="49"/>
      <c r="E91" s="49"/>
      <c r="F91" s="50"/>
      <c r="G91" s="57"/>
      <c r="H91" s="58"/>
      <c r="I91" s="5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c r="BA91" s="58"/>
      <c r="BB91" s="58"/>
      <c r="BC91" s="58"/>
      <c r="BD91" s="58"/>
      <c r="BE91" s="58"/>
      <c r="BF91" s="58"/>
      <c r="BG91" s="58"/>
      <c r="BH91" s="58"/>
      <c r="BI91" s="58"/>
      <c r="BJ91" s="58"/>
      <c r="BK91" s="58"/>
      <c r="BL91" s="58"/>
      <c r="BM91" s="58"/>
      <c r="BN91" s="59"/>
      <c r="BO91" s="34"/>
      <c r="BP91" s="35"/>
      <c r="BQ91" s="35"/>
      <c r="BR91" s="35"/>
      <c r="BS91" s="35"/>
      <c r="BT91" s="35"/>
      <c r="BU91" s="35"/>
      <c r="BV91" s="35"/>
      <c r="BW91" s="35"/>
      <c r="BX91" s="35"/>
      <c r="BY91" s="35"/>
      <c r="BZ91" s="35"/>
      <c r="CA91" s="35"/>
      <c r="CB91" s="35"/>
      <c r="CC91" s="35"/>
      <c r="CD91" s="35"/>
      <c r="CE91" s="35"/>
      <c r="CF91" s="36"/>
    </row>
    <row r="92" spans="1:85" ht="6.6" customHeight="1" x14ac:dyDescent="0.25">
      <c r="A92" s="48"/>
      <c r="B92" s="49"/>
      <c r="C92" s="49"/>
      <c r="D92" s="49"/>
      <c r="E92" s="49"/>
      <c r="F92" s="50"/>
      <c r="G92" s="57"/>
      <c r="H92" s="58"/>
      <c r="I92" s="5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c r="BA92" s="58"/>
      <c r="BB92" s="58"/>
      <c r="BC92" s="58"/>
      <c r="BD92" s="58"/>
      <c r="BE92" s="58"/>
      <c r="BF92" s="58"/>
      <c r="BG92" s="58"/>
      <c r="BH92" s="58"/>
      <c r="BI92" s="58"/>
      <c r="BJ92" s="58"/>
      <c r="BK92" s="58"/>
      <c r="BL92" s="58"/>
      <c r="BM92" s="58"/>
      <c r="BN92" s="59"/>
      <c r="BO92" s="34"/>
      <c r="BP92" s="35"/>
      <c r="BQ92" s="35"/>
      <c r="BR92" s="35"/>
      <c r="BS92" s="35"/>
      <c r="BT92" s="35"/>
      <c r="BU92" s="35"/>
      <c r="BV92" s="35"/>
      <c r="BW92" s="35"/>
      <c r="BX92" s="35"/>
      <c r="BY92" s="35"/>
      <c r="BZ92" s="35"/>
      <c r="CA92" s="35"/>
      <c r="CB92" s="35"/>
      <c r="CC92" s="35"/>
      <c r="CD92" s="35"/>
      <c r="CE92" s="35"/>
      <c r="CF92" s="36"/>
    </row>
    <row r="93" spans="1:85" ht="6.6" customHeight="1" x14ac:dyDescent="0.25">
      <c r="A93" s="48"/>
      <c r="B93" s="49"/>
      <c r="C93" s="49"/>
      <c r="D93" s="49"/>
      <c r="E93" s="49"/>
      <c r="F93" s="50"/>
      <c r="G93" s="57"/>
      <c r="H93" s="58"/>
      <c r="I93" s="5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c r="BA93" s="58"/>
      <c r="BB93" s="58"/>
      <c r="BC93" s="58"/>
      <c r="BD93" s="58"/>
      <c r="BE93" s="58"/>
      <c r="BF93" s="58"/>
      <c r="BG93" s="58"/>
      <c r="BH93" s="58"/>
      <c r="BI93" s="58"/>
      <c r="BJ93" s="58"/>
      <c r="BK93" s="58"/>
      <c r="BL93" s="58"/>
      <c r="BM93" s="58"/>
      <c r="BN93" s="59"/>
      <c r="BO93" s="34"/>
      <c r="BP93" s="35"/>
      <c r="BQ93" s="35"/>
      <c r="BR93" s="35"/>
      <c r="BS93" s="35"/>
      <c r="BT93" s="35"/>
      <c r="BU93" s="35"/>
      <c r="BV93" s="35"/>
      <c r="BW93" s="35"/>
      <c r="BX93" s="35"/>
      <c r="BY93" s="35"/>
      <c r="BZ93" s="35"/>
      <c r="CA93" s="35"/>
      <c r="CB93" s="35"/>
      <c r="CC93" s="35"/>
      <c r="CD93" s="35"/>
      <c r="CE93" s="35"/>
      <c r="CF93" s="36"/>
    </row>
    <row r="94" spans="1:85" ht="6.6" customHeight="1" x14ac:dyDescent="0.25">
      <c r="A94" s="48"/>
      <c r="B94" s="49"/>
      <c r="C94" s="49"/>
      <c r="D94" s="49"/>
      <c r="E94" s="49"/>
      <c r="F94" s="50"/>
      <c r="G94" s="57"/>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c r="BM94" s="58"/>
      <c r="BN94" s="59"/>
      <c r="BO94" s="34"/>
      <c r="BP94" s="35"/>
      <c r="BQ94" s="35"/>
      <c r="BR94" s="35"/>
      <c r="BS94" s="35"/>
      <c r="BT94" s="35"/>
      <c r="BU94" s="35"/>
      <c r="BV94" s="35"/>
      <c r="BW94" s="35"/>
      <c r="BX94" s="35"/>
      <c r="BY94" s="35"/>
      <c r="BZ94" s="35"/>
      <c r="CA94" s="35"/>
      <c r="CB94" s="35"/>
      <c r="CC94" s="35"/>
      <c r="CD94" s="35"/>
      <c r="CE94" s="35"/>
      <c r="CF94" s="36"/>
    </row>
    <row r="95" spans="1:85" ht="6.6" customHeight="1" x14ac:dyDescent="0.25">
      <c r="A95" s="48"/>
      <c r="B95" s="49"/>
      <c r="C95" s="49"/>
      <c r="D95" s="49"/>
      <c r="E95" s="49"/>
      <c r="F95" s="50"/>
      <c r="G95" s="57"/>
      <c r="H95" s="58"/>
      <c r="I95" s="5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c r="BA95" s="58"/>
      <c r="BB95" s="58"/>
      <c r="BC95" s="58"/>
      <c r="BD95" s="58"/>
      <c r="BE95" s="58"/>
      <c r="BF95" s="58"/>
      <c r="BG95" s="58"/>
      <c r="BH95" s="58"/>
      <c r="BI95" s="58"/>
      <c r="BJ95" s="58"/>
      <c r="BK95" s="58"/>
      <c r="BL95" s="58"/>
      <c r="BM95" s="58"/>
      <c r="BN95" s="59"/>
      <c r="BO95" s="34"/>
      <c r="BP95" s="35"/>
      <c r="BQ95" s="35"/>
      <c r="BR95" s="35"/>
      <c r="BS95" s="35"/>
      <c r="BT95" s="35"/>
      <c r="BU95" s="35"/>
      <c r="BV95" s="35"/>
      <c r="BW95" s="35"/>
      <c r="BX95" s="35"/>
      <c r="BY95" s="35"/>
      <c r="BZ95" s="35"/>
      <c r="CA95" s="35"/>
      <c r="CB95" s="35"/>
      <c r="CC95" s="35"/>
      <c r="CD95" s="35"/>
      <c r="CE95" s="35"/>
      <c r="CF95" s="36"/>
    </row>
    <row r="96" spans="1:85" ht="6.6" customHeight="1" x14ac:dyDescent="0.25">
      <c r="A96" s="51"/>
      <c r="B96" s="52"/>
      <c r="C96" s="52"/>
      <c r="D96" s="52"/>
      <c r="E96" s="52"/>
      <c r="F96" s="53"/>
      <c r="G96" s="60"/>
      <c r="H96" s="61"/>
      <c r="I96" s="61"/>
      <c r="J96" s="61"/>
      <c r="K96" s="61"/>
      <c r="L96" s="61"/>
      <c r="M96" s="61"/>
      <c r="N96" s="61"/>
      <c r="O96" s="61"/>
      <c r="P96" s="61"/>
      <c r="Q96" s="61"/>
      <c r="R96" s="61"/>
      <c r="S96" s="61"/>
      <c r="T96" s="61"/>
      <c r="U96" s="61"/>
      <c r="V96" s="61"/>
      <c r="W96" s="61"/>
      <c r="X96" s="61"/>
      <c r="Y96" s="61"/>
      <c r="Z96" s="61"/>
      <c r="AA96" s="61"/>
      <c r="AB96" s="61"/>
      <c r="AC96" s="61"/>
      <c r="AD96" s="61"/>
      <c r="AE96" s="61"/>
      <c r="AF96" s="61"/>
      <c r="AG96" s="61"/>
      <c r="AH96" s="61"/>
      <c r="AI96" s="61"/>
      <c r="AJ96" s="61"/>
      <c r="AK96" s="61"/>
      <c r="AL96" s="61"/>
      <c r="AM96" s="61"/>
      <c r="AN96" s="61"/>
      <c r="AO96" s="61"/>
      <c r="AP96" s="61"/>
      <c r="AQ96" s="61"/>
      <c r="AR96" s="61"/>
      <c r="AS96" s="61"/>
      <c r="AT96" s="61"/>
      <c r="AU96" s="61"/>
      <c r="AV96" s="61"/>
      <c r="AW96" s="61"/>
      <c r="AX96" s="61"/>
      <c r="AY96" s="61"/>
      <c r="AZ96" s="61"/>
      <c r="BA96" s="61"/>
      <c r="BB96" s="61"/>
      <c r="BC96" s="61"/>
      <c r="BD96" s="61"/>
      <c r="BE96" s="61"/>
      <c r="BF96" s="61"/>
      <c r="BG96" s="61"/>
      <c r="BH96" s="61"/>
      <c r="BI96" s="61"/>
      <c r="BJ96" s="61"/>
      <c r="BK96" s="61"/>
      <c r="BL96" s="61"/>
      <c r="BM96" s="61"/>
      <c r="BN96" s="62"/>
      <c r="BO96" s="37"/>
      <c r="BP96" s="38"/>
      <c r="BQ96" s="38"/>
      <c r="BR96" s="38"/>
      <c r="BS96" s="38"/>
      <c r="BT96" s="38"/>
      <c r="BU96" s="38"/>
      <c r="BV96" s="38"/>
      <c r="BW96" s="38"/>
      <c r="BX96" s="38"/>
      <c r="BY96" s="38"/>
      <c r="BZ96" s="38"/>
      <c r="CA96" s="38"/>
      <c r="CB96" s="38"/>
      <c r="CC96" s="38"/>
      <c r="CD96" s="38"/>
      <c r="CE96" s="38"/>
      <c r="CF96" s="39"/>
      <c r="CG96" s="18">
        <v>9</v>
      </c>
    </row>
    <row r="97" spans="1:84" ht="6.6" customHeight="1" x14ac:dyDescent="0.25">
      <c r="A97" s="45" t="s">
        <v>18</v>
      </c>
      <c r="B97" s="46"/>
      <c r="C97" s="46"/>
      <c r="D97" s="46"/>
      <c r="E97" s="46"/>
      <c r="F97" s="47"/>
      <c r="G97" s="54" t="str">
        <f>IFERROR(IF(VLOOKUP($CJ$7,'3° PERIODO'!$A$7:$BV$36,$CG$60)="","",VLOOKUP($CJ$7,'3° PERIODO'!$A$7:$BV$36,$CG$60)),"")</f>
        <v>¡Estás progresando Leydi! Vemos que juegas mucho con tus amigas y amigos, participas muy motivada y cuidas a los demás. En el proyecto has aprendido para qué sirven los letreros y escribes con mucha soltura. ¡Buen trabajo!
Mamita y papito, Leydi aporta mucha motivación al salón y disfruta participando en las diferentes actividades. Sin embargo, a veces le cuesta escuchar y seguir las rutinas; también le cuesta incluirse un poco en el grupo. Hay que establecer rutinas en casa y siempre ser democráticos para poder ayudar a Leydi. Es importante seguir practicando el lavado de manos, la alimentación correcta y el cepillado de dientes todos los días para que Leydi pueda progresar más. Recuerden que es importante la asistencia, hay muchas faltas y eso no permite evidenciar el avance.</v>
      </c>
      <c r="H97" s="55"/>
      <c r="I97" s="55"/>
      <c r="J97" s="55"/>
      <c r="K97" s="55"/>
      <c r="L97" s="55"/>
      <c r="M97" s="55"/>
      <c r="N97" s="55"/>
      <c r="O97" s="55"/>
      <c r="P97" s="55"/>
      <c r="Q97" s="55"/>
      <c r="R97" s="55"/>
      <c r="S97" s="55"/>
      <c r="T97" s="55"/>
      <c r="U97" s="55"/>
      <c r="V97" s="55"/>
      <c r="W97" s="55"/>
      <c r="X97" s="55"/>
      <c r="Y97" s="55"/>
      <c r="Z97" s="55"/>
      <c r="AA97" s="55"/>
      <c r="AB97" s="55"/>
      <c r="AC97" s="55"/>
      <c r="AD97" s="55"/>
      <c r="AE97" s="55"/>
      <c r="AF97" s="55"/>
      <c r="AG97" s="55"/>
      <c r="AH97" s="55"/>
      <c r="AI97" s="55"/>
      <c r="AJ97" s="55"/>
      <c r="AK97" s="55"/>
      <c r="AL97" s="55"/>
      <c r="AM97" s="55"/>
      <c r="AN97" s="55"/>
      <c r="AO97" s="55"/>
      <c r="AP97" s="55"/>
      <c r="AQ97" s="55"/>
      <c r="AR97" s="55"/>
      <c r="AS97" s="55"/>
      <c r="AT97" s="55"/>
      <c r="AU97" s="55"/>
      <c r="AV97" s="55"/>
      <c r="AW97" s="55"/>
      <c r="AX97" s="55"/>
      <c r="AY97" s="55"/>
      <c r="AZ97" s="55"/>
      <c r="BA97" s="55"/>
      <c r="BB97" s="55"/>
      <c r="BC97" s="55"/>
      <c r="BD97" s="55"/>
      <c r="BE97" s="55"/>
      <c r="BF97" s="55"/>
      <c r="BG97" s="55"/>
      <c r="BH97" s="55"/>
      <c r="BI97" s="55"/>
      <c r="BJ97" s="55"/>
      <c r="BK97" s="55"/>
      <c r="BL97" s="55"/>
      <c r="BM97" s="55"/>
      <c r="BN97" s="56"/>
      <c r="BO97" s="31"/>
      <c r="BP97" s="32"/>
      <c r="BQ97" s="32"/>
      <c r="BR97" s="32"/>
      <c r="BS97" s="32"/>
      <c r="BT97" s="32"/>
      <c r="BU97" s="32"/>
      <c r="BV97" s="32"/>
      <c r="BW97" s="32"/>
      <c r="BX97" s="32"/>
      <c r="BY97" s="32"/>
      <c r="BZ97" s="32"/>
      <c r="CA97" s="32"/>
      <c r="CB97" s="32"/>
      <c r="CC97" s="32"/>
      <c r="CD97" s="32"/>
      <c r="CE97" s="32"/>
      <c r="CF97" s="33"/>
    </row>
    <row r="98" spans="1:84" ht="6.6" customHeight="1" x14ac:dyDescent="0.25">
      <c r="A98" s="48"/>
      <c r="B98" s="49"/>
      <c r="C98" s="49"/>
      <c r="D98" s="49"/>
      <c r="E98" s="49"/>
      <c r="F98" s="50"/>
      <c r="G98" s="57"/>
      <c r="H98" s="58"/>
      <c r="I98" s="5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c r="BA98" s="58"/>
      <c r="BB98" s="58"/>
      <c r="BC98" s="58"/>
      <c r="BD98" s="58"/>
      <c r="BE98" s="58"/>
      <c r="BF98" s="58"/>
      <c r="BG98" s="58"/>
      <c r="BH98" s="58"/>
      <c r="BI98" s="58"/>
      <c r="BJ98" s="58"/>
      <c r="BK98" s="58"/>
      <c r="BL98" s="58"/>
      <c r="BM98" s="58"/>
      <c r="BN98" s="59"/>
      <c r="BO98" s="34"/>
      <c r="BP98" s="35"/>
      <c r="BQ98" s="35"/>
      <c r="BR98" s="35"/>
      <c r="BS98" s="35"/>
      <c r="BT98" s="35"/>
      <c r="BU98" s="35"/>
      <c r="BV98" s="35"/>
      <c r="BW98" s="35"/>
      <c r="BX98" s="35"/>
      <c r="BY98" s="35"/>
      <c r="BZ98" s="35"/>
      <c r="CA98" s="35"/>
      <c r="CB98" s="35"/>
      <c r="CC98" s="35"/>
      <c r="CD98" s="35"/>
      <c r="CE98" s="35"/>
      <c r="CF98" s="36"/>
    </row>
    <row r="99" spans="1:84" ht="6.6" customHeight="1" x14ac:dyDescent="0.25">
      <c r="A99" s="48"/>
      <c r="B99" s="49"/>
      <c r="C99" s="49"/>
      <c r="D99" s="49"/>
      <c r="E99" s="49"/>
      <c r="F99" s="50"/>
      <c r="G99" s="57"/>
      <c r="H99" s="58"/>
      <c r="I99" s="5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c r="BA99" s="58"/>
      <c r="BB99" s="58"/>
      <c r="BC99" s="58"/>
      <c r="BD99" s="58"/>
      <c r="BE99" s="58"/>
      <c r="BF99" s="58"/>
      <c r="BG99" s="58"/>
      <c r="BH99" s="58"/>
      <c r="BI99" s="58"/>
      <c r="BJ99" s="58"/>
      <c r="BK99" s="58"/>
      <c r="BL99" s="58"/>
      <c r="BM99" s="58"/>
      <c r="BN99" s="59"/>
      <c r="BO99" s="34"/>
      <c r="BP99" s="35"/>
      <c r="BQ99" s="35"/>
      <c r="BR99" s="35"/>
      <c r="BS99" s="35"/>
      <c r="BT99" s="35"/>
      <c r="BU99" s="35"/>
      <c r="BV99" s="35"/>
      <c r="BW99" s="35"/>
      <c r="BX99" s="35"/>
      <c r="BY99" s="35"/>
      <c r="BZ99" s="35"/>
      <c r="CA99" s="35"/>
      <c r="CB99" s="35"/>
      <c r="CC99" s="35"/>
      <c r="CD99" s="35"/>
      <c r="CE99" s="35"/>
      <c r="CF99" s="36"/>
    </row>
    <row r="100" spans="1:84" ht="6.6" customHeight="1" x14ac:dyDescent="0.25">
      <c r="A100" s="48"/>
      <c r="B100" s="49"/>
      <c r="C100" s="49"/>
      <c r="D100" s="49"/>
      <c r="E100" s="49"/>
      <c r="F100" s="50"/>
      <c r="G100" s="57"/>
      <c r="H100" s="58"/>
      <c r="I100" s="5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c r="BA100" s="58"/>
      <c r="BB100" s="58"/>
      <c r="BC100" s="58"/>
      <c r="BD100" s="58"/>
      <c r="BE100" s="58"/>
      <c r="BF100" s="58"/>
      <c r="BG100" s="58"/>
      <c r="BH100" s="58"/>
      <c r="BI100" s="58"/>
      <c r="BJ100" s="58"/>
      <c r="BK100" s="58"/>
      <c r="BL100" s="58"/>
      <c r="BM100" s="58"/>
      <c r="BN100" s="59"/>
      <c r="BO100" s="34"/>
      <c r="BP100" s="35"/>
      <c r="BQ100" s="35"/>
      <c r="BR100" s="35"/>
      <c r="BS100" s="35"/>
      <c r="BT100" s="35"/>
      <c r="BU100" s="35"/>
      <c r="BV100" s="35"/>
      <c r="BW100" s="35"/>
      <c r="BX100" s="35"/>
      <c r="BY100" s="35"/>
      <c r="BZ100" s="35"/>
      <c r="CA100" s="35"/>
      <c r="CB100" s="35"/>
      <c r="CC100" s="35"/>
      <c r="CD100" s="35"/>
      <c r="CE100" s="35"/>
      <c r="CF100" s="36"/>
    </row>
    <row r="101" spans="1:84" ht="6.6" customHeight="1" x14ac:dyDescent="0.25">
      <c r="A101" s="48"/>
      <c r="B101" s="49"/>
      <c r="C101" s="49"/>
      <c r="D101" s="49"/>
      <c r="E101" s="49"/>
      <c r="F101" s="50"/>
      <c r="G101" s="57"/>
      <c r="H101" s="58"/>
      <c r="I101" s="5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c r="BA101" s="58"/>
      <c r="BB101" s="58"/>
      <c r="BC101" s="58"/>
      <c r="BD101" s="58"/>
      <c r="BE101" s="58"/>
      <c r="BF101" s="58"/>
      <c r="BG101" s="58"/>
      <c r="BH101" s="58"/>
      <c r="BI101" s="58"/>
      <c r="BJ101" s="58"/>
      <c r="BK101" s="58"/>
      <c r="BL101" s="58"/>
      <c r="BM101" s="58"/>
      <c r="BN101" s="59"/>
      <c r="BO101" s="34"/>
      <c r="BP101" s="35"/>
      <c r="BQ101" s="35"/>
      <c r="BR101" s="35"/>
      <c r="BS101" s="35"/>
      <c r="BT101" s="35"/>
      <c r="BU101" s="35"/>
      <c r="BV101" s="35"/>
      <c r="BW101" s="35"/>
      <c r="BX101" s="35"/>
      <c r="BY101" s="35"/>
      <c r="BZ101" s="35"/>
      <c r="CA101" s="35"/>
      <c r="CB101" s="35"/>
      <c r="CC101" s="35"/>
      <c r="CD101" s="35"/>
      <c r="CE101" s="35"/>
      <c r="CF101" s="36"/>
    </row>
    <row r="102" spans="1:84" ht="6.6" customHeight="1" x14ac:dyDescent="0.25">
      <c r="A102" s="48"/>
      <c r="B102" s="49"/>
      <c r="C102" s="49"/>
      <c r="D102" s="49"/>
      <c r="E102" s="49"/>
      <c r="F102" s="50"/>
      <c r="G102" s="57"/>
      <c r="H102" s="58"/>
      <c r="I102" s="5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c r="BA102" s="58"/>
      <c r="BB102" s="58"/>
      <c r="BC102" s="58"/>
      <c r="BD102" s="58"/>
      <c r="BE102" s="58"/>
      <c r="BF102" s="58"/>
      <c r="BG102" s="58"/>
      <c r="BH102" s="58"/>
      <c r="BI102" s="58"/>
      <c r="BJ102" s="58"/>
      <c r="BK102" s="58"/>
      <c r="BL102" s="58"/>
      <c r="BM102" s="58"/>
      <c r="BN102" s="59"/>
      <c r="BO102" s="34"/>
      <c r="BP102" s="35"/>
      <c r="BQ102" s="35"/>
      <c r="BR102" s="35"/>
      <c r="BS102" s="35"/>
      <c r="BT102" s="35"/>
      <c r="BU102" s="35"/>
      <c r="BV102" s="35"/>
      <c r="BW102" s="35"/>
      <c r="BX102" s="35"/>
      <c r="BY102" s="35"/>
      <c r="BZ102" s="35"/>
      <c r="CA102" s="35"/>
      <c r="CB102" s="35"/>
      <c r="CC102" s="35"/>
      <c r="CD102" s="35"/>
      <c r="CE102" s="35"/>
      <c r="CF102" s="36"/>
    </row>
    <row r="103" spans="1:84" ht="6.6" customHeight="1" x14ac:dyDescent="0.25">
      <c r="A103" s="48"/>
      <c r="B103" s="49"/>
      <c r="C103" s="49"/>
      <c r="D103" s="49"/>
      <c r="E103" s="49"/>
      <c r="F103" s="50"/>
      <c r="G103" s="57"/>
      <c r="H103" s="58"/>
      <c r="I103" s="5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c r="BA103" s="58"/>
      <c r="BB103" s="58"/>
      <c r="BC103" s="58"/>
      <c r="BD103" s="58"/>
      <c r="BE103" s="58"/>
      <c r="BF103" s="58"/>
      <c r="BG103" s="58"/>
      <c r="BH103" s="58"/>
      <c r="BI103" s="58"/>
      <c r="BJ103" s="58"/>
      <c r="BK103" s="58"/>
      <c r="BL103" s="58"/>
      <c r="BM103" s="58"/>
      <c r="BN103" s="59"/>
      <c r="BO103" s="34"/>
      <c r="BP103" s="35"/>
      <c r="BQ103" s="35"/>
      <c r="BR103" s="35"/>
      <c r="BS103" s="35"/>
      <c r="BT103" s="35"/>
      <c r="BU103" s="35"/>
      <c r="BV103" s="35"/>
      <c r="BW103" s="35"/>
      <c r="BX103" s="35"/>
      <c r="BY103" s="35"/>
      <c r="BZ103" s="35"/>
      <c r="CA103" s="35"/>
      <c r="CB103" s="35"/>
      <c r="CC103" s="35"/>
      <c r="CD103" s="35"/>
      <c r="CE103" s="35"/>
      <c r="CF103" s="36"/>
    </row>
    <row r="104" spans="1:84" ht="6.6" customHeight="1" x14ac:dyDescent="0.25">
      <c r="A104" s="48"/>
      <c r="B104" s="49"/>
      <c r="C104" s="49"/>
      <c r="D104" s="49"/>
      <c r="E104" s="49"/>
      <c r="F104" s="50"/>
      <c r="G104" s="57"/>
      <c r="H104" s="58"/>
      <c r="I104" s="5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c r="BA104" s="58"/>
      <c r="BB104" s="58"/>
      <c r="BC104" s="58"/>
      <c r="BD104" s="58"/>
      <c r="BE104" s="58"/>
      <c r="BF104" s="58"/>
      <c r="BG104" s="58"/>
      <c r="BH104" s="58"/>
      <c r="BI104" s="58"/>
      <c r="BJ104" s="58"/>
      <c r="BK104" s="58"/>
      <c r="BL104" s="58"/>
      <c r="BM104" s="58"/>
      <c r="BN104" s="59"/>
      <c r="BO104" s="34"/>
      <c r="BP104" s="35"/>
      <c r="BQ104" s="35"/>
      <c r="BR104" s="35"/>
      <c r="BS104" s="35"/>
      <c r="BT104" s="35"/>
      <c r="BU104" s="35"/>
      <c r="BV104" s="35"/>
      <c r="BW104" s="35"/>
      <c r="BX104" s="35"/>
      <c r="BY104" s="35"/>
      <c r="BZ104" s="35"/>
      <c r="CA104" s="35"/>
      <c r="CB104" s="35"/>
      <c r="CC104" s="35"/>
      <c r="CD104" s="35"/>
      <c r="CE104" s="35"/>
      <c r="CF104" s="36"/>
    </row>
    <row r="105" spans="1:84" ht="6.6" customHeight="1" x14ac:dyDescent="0.25">
      <c r="A105" s="48"/>
      <c r="B105" s="49"/>
      <c r="C105" s="49"/>
      <c r="D105" s="49"/>
      <c r="E105" s="49"/>
      <c r="F105" s="50"/>
      <c r="G105" s="57"/>
      <c r="H105" s="58"/>
      <c r="I105" s="5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c r="BA105" s="58"/>
      <c r="BB105" s="58"/>
      <c r="BC105" s="58"/>
      <c r="BD105" s="58"/>
      <c r="BE105" s="58"/>
      <c r="BF105" s="58"/>
      <c r="BG105" s="58"/>
      <c r="BH105" s="58"/>
      <c r="BI105" s="58"/>
      <c r="BJ105" s="58"/>
      <c r="BK105" s="58"/>
      <c r="BL105" s="58"/>
      <c r="BM105" s="58"/>
      <c r="BN105" s="59"/>
      <c r="BO105" s="34"/>
      <c r="BP105" s="35"/>
      <c r="BQ105" s="35"/>
      <c r="BR105" s="35"/>
      <c r="BS105" s="35"/>
      <c r="BT105" s="35"/>
      <c r="BU105" s="35"/>
      <c r="BV105" s="35"/>
      <c r="BW105" s="35"/>
      <c r="BX105" s="35"/>
      <c r="BY105" s="35"/>
      <c r="BZ105" s="35"/>
      <c r="CA105" s="35"/>
      <c r="CB105" s="35"/>
      <c r="CC105" s="35"/>
      <c r="CD105" s="35"/>
      <c r="CE105" s="35"/>
      <c r="CF105" s="36"/>
    </row>
    <row r="106" spans="1:84" ht="6.6" customHeight="1" x14ac:dyDescent="0.25">
      <c r="A106" s="48"/>
      <c r="B106" s="49"/>
      <c r="C106" s="49"/>
      <c r="D106" s="49"/>
      <c r="E106" s="49"/>
      <c r="F106" s="50"/>
      <c r="G106" s="57"/>
      <c r="H106" s="58"/>
      <c r="I106" s="5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c r="BA106" s="58"/>
      <c r="BB106" s="58"/>
      <c r="BC106" s="58"/>
      <c r="BD106" s="58"/>
      <c r="BE106" s="58"/>
      <c r="BF106" s="58"/>
      <c r="BG106" s="58"/>
      <c r="BH106" s="58"/>
      <c r="BI106" s="58"/>
      <c r="BJ106" s="58"/>
      <c r="BK106" s="58"/>
      <c r="BL106" s="58"/>
      <c r="BM106" s="58"/>
      <c r="BN106" s="59"/>
      <c r="BO106" s="34"/>
      <c r="BP106" s="35"/>
      <c r="BQ106" s="35"/>
      <c r="BR106" s="35"/>
      <c r="BS106" s="35"/>
      <c r="BT106" s="35"/>
      <c r="BU106" s="35"/>
      <c r="BV106" s="35"/>
      <c r="BW106" s="35"/>
      <c r="BX106" s="35"/>
      <c r="BY106" s="35"/>
      <c r="BZ106" s="35"/>
      <c r="CA106" s="35"/>
      <c r="CB106" s="35"/>
      <c r="CC106" s="35"/>
      <c r="CD106" s="35"/>
      <c r="CE106" s="35"/>
      <c r="CF106" s="36"/>
    </row>
    <row r="107" spans="1:84" ht="6.6" customHeight="1" x14ac:dyDescent="0.25">
      <c r="A107" s="48"/>
      <c r="B107" s="49"/>
      <c r="C107" s="49"/>
      <c r="D107" s="49"/>
      <c r="E107" s="49"/>
      <c r="F107" s="50"/>
      <c r="G107" s="57"/>
      <c r="H107" s="58"/>
      <c r="I107" s="5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c r="BA107" s="58"/>
      <c r="BB107" s="58"/>
      <c r="BC107" s="58"/>
      <c r="BD107" s="58"/>
      <c r="BE107" s="58"/>
      <c r="BF107" s="58"/>
      <c r="BG107" s="58"/>
      <c r="BH107" s="58"/>
      <c r="BI107" s="58"/>
      <c r="BJ107" s="58"/>
      <c r="BK107" s="58"/>
      <c r="BL107" s="58"/>
      <c r="BM107" s="58"/>
      <c r="BN107" s="59"/>
      <c r="BO107" s="34"/>
      <c r="BP107" s="35"/>
      <c r="BQ107" s="35"/>
      <c r="BR107" s="35"/>
      <c r="BS107" s="35"/>
      <c r="BT107" s="35"/>
      <c r="BU107" s="35"/>
      <c r="BV107" s="35"/>
      <c r="BW107" s="35"/>
      <c r="BX107" s="35"/>
      <c r="BY107" s="35"/>
      <c r="BZ107" s="35"/>
      <c r="CA107" s="35"/>
      <c r="CB107" s="35"/>
      <c r="CC107" s="35"/>
      <c r="CD107" s="35"/>
      <c r="CE107" s="35"/>
      <c r="CF107" s="36"/>
    </row>
    <row r="108" spans="1:84" ht="6.6" customHeight="1" x14ac:dyDescent="0.25">
      <c r="A108" s="48"/>
      <c r="B108" s="49"/>
      <c r="C108" s="49"/>
      <c r="D108" s="49"/>
      <c r="E108" s="49"/>
      <c r="F108" s="50"/>
      <c r="G108" s="57"/>
      <c r="H108" s="58"/>
      <c r="I108" s="5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c r="BA108" s="58"/>
      <c r="BB108" s="58"/>
      <c r="BC108" s="58"/>
      <c r="BD108" s="58"/>
      <c r="BE108" s="58"/>
      <c r="BF108" s="58"/>
      <c r="BG108" s="58"/>
      <c r="BH108" s="58"/>
      <c r="BI108" s="58"/>
      <c r="BJ108" s="58"/>
      <c r="BK108" s="58"/>
      <c r="BL108" s="58"/>
      <c r="BM108" s="58"/>
      <c r="BN108" s="59"/>
      <c r="BO108" s="34"/>
      <c r="BP108" s="35"/>
      <c r="BQ108" s="35"/>
      <c r="BR108" s="35"/>
      <c r="BS108" s="35"/>
      <c r="BT108" s="35"/>
      <c r="BU108" s="35"/>
      <c r="BV108" s="35"/>
      <c r="BW108" s="35"/>
      <c r="BX108" s="35"/>
      <c r="BY108" s="35"/>
      <c r="BZ108" s="35"/>
      <c r="CA108" s="35"/>
      <c r="CB108" s="35"/>
      <c r="CC108" s="35"/>
      <c r="CD108" s="35"/>
      <c r="CE108" s="35"/>
      <c r="CF108" s="36"/>
    </row>
    <row r="109" spans="1:84" ht="6.6" customHeight="1" x14ac:dyDescent="0.25">
      <c r="A109" s="48"/>
      <c r="B109" s="49"/>
      <c r="C109" s="49"/>
      <c r="D109" s="49"/>
      <c r="E109" s="49"/>
      <c r="F109" s="50"/>
      <c r="G109" s="57"/>
      <c r="H109" s="58"/>
      <c r="I109" s="5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c r="BA109" s="58"/>
      <c r="BB109" s="58"/>
      <c r="BC109" s="58"/>
      <c r="BD109" s="58"/>
      <c r="BE109" s="58"/>
      <c r="BF109" s="58"/>
      <c r="BG109" s="58"/>
      <c r="BH109" s="58"/>
      <c r="BI109" s="58"/>
      <c r="BJ109" s="58"/>
      <c r="BK109" s="58"/>
      <c r="BL109" s="58"/>
      <c r="BM109" s="58"/>
      <c r="BN109" s="59"/>
      <c r="BO109" s="34"/>
      <c r="BP109" s="35"/>
      <c r="BQ109" s="35"/>
      <c r="BR109" s="35"/>
      <c r="BS109" s="35"/>
      <c r="BT109" s="35"/>
      <c r="BU109" s="35"/>
      <c r="BV109" s="35"/>
      <c r="BW109" s="35"/>
      <c r="BX109" s="35"/>
      <c r="BY109" s="35"/>
      <c r="BZ109" s="35"/>
      <c r="CA109" s="35"/>
      <c r="CB109" s="35"/>
      <c r="CC109" s="35"/>
      <c r="CD109" s="35"/>
      <c r="CE109" s="35"/>
      <c r="CF109" s="36"/>
    </row>
    <row r="110" spans="1:84" ht="6.6" customHeight="1" x14ac:dyDescent="0.25">
      <c r="A110" s="48"/>
      <c r="B110" s="49"/>
      <c r="C110" s="49"/>
      <c r="D110" s="49"/>
      <c r="E110" s="49"/>
      <c r="F110" s="50"/>
      <c r="G110" s="57"/>
      <c r="H110" s="58"/>
      <c r="I110" s="5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c r="BA110" s="58"/>
      <c r="BB110" s="58"/>
      <c r="BC110" s="58"/>
      <c r="BD110" s="58"/>
      <c r="BE110" s="58"/>
      <c r="BF110" s="58"/>
      <c r="BG110" s="58"/>
      <c r="BH110" s="58"/>
      <c r="BI110" s="58"/>
      <c r="BJ110" s="58"/>
      <c r="BK110" s="58"/>
      <c r="BL110" s="58"/>
      <c r="BM110" s="58"/>
      <c r="BN110" s="59"/>
      <c r="BO110" s="34"/>
      <c r="BP110" s="35"/>
      <c r="BQ110" s="35"/>
      <c r="BR110" s="35"/>
      <c r="BS110" s="35"/>
      <c r="BT110" s="35"/>
      <c r="BU110" s="35"/>
      <c r="BV110" s="35"/>
      <c r="BW110" s="35"/>
      <c r="BX110" s="35"/>
      <c r="BY110" s="35"/>
      <c r="BZ110" s="35"/>
      <c r="CA110" s="35"/>
      <c r="CB110" s="35"/>
      <c r="CC110" s="35"/>
      <c r="CD110" s="35"/>
      <c r="CE110" s="35"/>
      <c r="CF110" s="36"/>
    </row>
    <row r="111" spans="1:84" ht="6.6" customHeight="1" x14ac:dyDescent="0.25">
      <c r="A111" s="48"/>
      <c r="B111" s="49"/>
      <c r="C111" s="49"/>
      <c r="D111" s="49"/>
      <c r="E111" s="49"/>
      <c r="F111" s="50"/>
      <c r="G111" s="57"/>
      <c r="H111" s="58"/>
      <c r="I111" s="5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c r="BA111" s="58"/>
      <c r="BB111" s="58"/>
      <c r="BC111" s="58"/>
      <c r="BD111" s="58"/>
      <c r="BE111" s="58"/>
      <c r="BF111" s="58"/>
      <c r="BG111" s="58"/>
      <c r="BH111" s="58"/>
      <c r="BI111" s="58"/>
      <c r="BJ111" s="58"/>
      <c r="BK111" s="58"/>
      <c r="BL111" s="58"/>
      <c r="BM111" s="58"/>
      <c r="BN111" s="59"/>
      <c r="BO111" s="34"/>
      <c r="BP111" s="35"/>
      <c r="BQ111" s="35"/>
      <c r="BR111" s="35"/>
      <c r="BS111" s="35"/>
      <c r="BT111" s="35"/>
      <c r="BU111" s="35"/>
      <c r="BV111" s="35"/>
      <c r="BW111" s="35"/>
      <c r="BX111" s="35"/>
      <c r="BY111" s="35"/>
      <c r="BZ111" s="35"/>
      <c r="CA111" s="35"/>
      <c r="CB111" s="35"/>
      <c r="CC111" s="35"/>
      <c r="CD111" s="35"/>
      <c r="CE111" s="35"/>
      <c r="CF111" s="36"/>
    </row>
    <row r="112" spans="1:84" ht="6.6" customHeight="1" x14ac:dyDescent="0.25">
      <c r="A112" s="48"/>
      <c r="B112" s="49"/>
      <c r="C112" s="49"/>
      <c r="D112" s="49"/>
      <c r="E112" s="49"/>
      <c r="F112" s="50"/>
      <c r="G112" s="57"/>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c r="BM112" s="58"/>
      <c r="BN112" s="59"/>
      <c r="BO112" s="34"/>
      <c r="BP112" s="35"/>
      <c r="BQ112" s="35"/>
      <c r="BR112" s="35"/>
      <c r="BS112" s="35"/>
      <c r="BT112" s="35"/>
      <c r="BU112" s="35"/>
      <c r="BV112" s="35"/>
      <c r="BW112" s="35"/>
      <c r="BX112" s="35"/>
      <c r="BY112" s="35"/>
      <c r="BZ112" s="35"/>
      <c r="CA112" s="35"/>
      <c r="CB112" s="35"/>
      <c r="CC112" s="35"/>
      <c r="CD112" s="35"/>
      <c r="CE112" s="35"/>
      <c r="CF112" s="36"/>
    </row>
    <row r="113" spans="1:84" ht="6.6" customHeight="1" x14ac:dyDescent="0.25">
      <c r="A113" s="48"/>
      <c r="B113" s="49"/>
      <c r="C113" s="49"/>
      <c r="D113" s="49"/>
      <c r="E113" s="49"/>
      <c r="F113" s="50"/>
      <c r="G113" s="57"/>
      <c r="H113" s="58"/>
      <c r="I113" s="5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c r="BA113" s="58"/>
      <c r="BB113" s="58"/>
      <c r="BC113" s="58"/>
      <c r="BD113" s="58"/>
      <c r="BE113" s="58"/>
      <c r="BF113" s="58"/>
      <c r="BG113" s="58"/>
      <c r="BH113" s="58"/>
      <c r="BI113" s="58"/>
      <c r="BJ113" s="58"/>
      <c r="BK113" s="58"/>
      <c r="BL113" s="58"/>
      <c r="BM113" s="58"/>
      <c r="BN113" s="59"/>
      <c r="BO113" s="34"/>
      <c r="BP113" s="35"/>
      <c r="BQ113" s="35"/>
      <c r="BR113" s="35"/>
      <c r="BS113" s="35"/>
      <c r="BT113" s="35"/>
      <c r="BU113" s="35"/>
      <c r="BV113" s="35"/>
      <c r="BW113" s="35"/>
      <c r="BX113" s="35"/>
      <c r="BY113" s="35"/>
      <c r="BZ113" s="35"/>
      <c r="CA113" s="35"/>
      <c r="CB113" s="35"/>
      <c r="CC113" s="35"/>
      <c r="CD113" s="35"/>
      <c r="CE113" s="35"/>
      <c r="CF113" s="36"/>
    </row>
    <row r="114" spans="1:84" ht="6.6" customHeight="1" x14ac:dyDescent="0.25">
      <c r="A114" s="51"/>
      <c r="B114" s="52"/>
      <c r="C114" s="52"/>
      <c r="D114" s="52"/>
      <c r="E114" s="52"/>
      <c r="F114" s="53"/>
      <c r="G114" s="60"/>
      <c r="H114" s="61"/>
      <c r="I114" s="61"/>
      <c r="J114" s="61"/>
      <c r="K114" s="61"/>
      <c r="L114" s="61"/>
      <c r="M114" s="61"/>
      <c r="N114" s="61"/>
      <c r="O114" s="61"/>
      <c r="P114" s="61"/>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1"/>
      <c r="AR114" s="61"/>
      <c r="AS114" s="61"/>
      <c r="AT114" s="61"/>
      <c r="AU114" s="61"/>
      <c r="AV114" s="61"/>
      <c r="AW114" s="61"/>
      <c r="AX114" s="61"/>
      <c r="AY114" s="61"/>
      <c r="AZ114" s="61"/>
      <c r="BA114" s="61"/>
      <c r="BB114" s="61"/>
      <c r="BC114" s="61"/>
      <c r="BD114" s="61"/>
      <c r="BE114" s="61"/>
      <c r="BF114" s="61"/>
      <c r="BG114" s="61"/>
      <c r="BH114" s="61"/>
      <c r="BI114" s="61"/>
      <c r="BJ114" s="61"/>
      <c r="BK114" s="61"/>
      <c r="BL114" s="61"/>
      <c r="BM114" s="61"/>
      <c r="BN114" s="62"/>
      <c r="BO114" s="37"/>
      <c r="BP114" s="38"/>
      <c r="BQ114" s="38"/>
      <c r="BR114" s="38"/>
      <c r="BS114" s="38"/>
      <c r="BT114" s="38"/>
      <c r="BU114" s="38"/>
      <c r="BV114" s="38"/>
      <c r="BW114" s="38"/>
      <c r="BX114" s="38"/>
      <c r="BY114" s="38"/>
      <c r="BZ114" s="38"/>
      <c r="CA114" s="38"/>
      <c r="CB114" s="38"/>
      <c r="CC114" s="38"/>
      <c r="CD114" s="38"/>
      <c r="CE114" s="38"/>
      <c r="CF114" s="39"/>
    </row>
    <row r="115" spans="1:84" ht="6.6" customHeight="1" x14ac:dyDescent="0.25">
      <c r="A115" s="45" t="s">
        <v>20</v>
      </c>
      <c r="B115" s="46"/>
      <c r="C115" s="46"/>
      <c r="D115" s="46"/>
      <c r="E115" s="46"/>
      <c r="F115" s="47"/>
      <c r="G115" s="54" t="str">
        <f>IFERROR(IF(VLOOKUP($CJ$7,'4° PERIODO'!$A$7:$BV$36,$CG$60)="","",VLOOKUP($CJ$7,'4° PERIODO'!$A$7:$BV$36,$CG$60)),"")</f>
        <v>¡Felicidades Leydi! Ya al finalizar el año has obtenido un gran progreso. Hemos visto como interactúas mejor con tus compañeros, también como expresas de forma más clara tus ideas y entiendes lo que sucede a tu alrededor. También ya cuentas a tus amigos y amigas con mayor facilidad, eso quiere decir que entiendes mejor las cantidades ¡Bravo!
Gracias mamita y papito por todo el esfuerzo este año, recuerden que hay que seguir trabajando con Leydi, ella tiene mucho interés en aprender y es importante también trabajarlo en casa, hemos visto que las últimas semanas han habido faltas recurrentes así que el proximo año hay que mejorar. En casa que siga ayudando, que tenga un horario y que tengan tiempo en familia, ya nos volvemos a ver el próximo año. 
¡Feliz navidad¡ ¡Próspero año nuevo¡</v>
      </c>
      <c r="H115" s="55"/>
      <c r="I115" s="55"/>
      <c r="J115" s="55"/>
      <c r="K115" s="55"/>
      <c r="L115" s="55"/>
      <c r="M115" s="55"/>
      <c r="N115" s="55"/>
      <c r="O115" s="55"/>
      <c r="P115" s="55"/>
      <c r="Q115" s="55"/>
      <c r="R115" s="55"/>
      <c r="S115" s="55"/>
      <c r="T115" s="55"/>
      <c r="U115" s="55"/>
      <c r="V115" s="55"/>
      <c r="W115" s="55"/>
      <c r="X115" s="55"/>
      <c r="Y115" s="55"/>
      <c r="Z115" s="55"/>
      <c r="AA115" s="55"/>
      <c r="AB115" s="55"/>
      <c r="AC115" s="55"/>
      <c r="AD115" s="55"/>
      <c r="AE115" s="55"/>
      <c r="AF115" s="55"/>
      <c r="AG115" s="55"/>
      <c r="AH115" s="55"/>
      <c r="AI115" s="55"/>
      <c r="AJ115" s="55"/>
      <c r="AK115" s="55"/>
      <c r="AL115" s="55"/>
      <c r="AM115" s="55"/>
      <c r="AN115" s="55"/>
      <c r="AO115" s="55"/>
      <c r="AP115" s="55"/>
      <c r="AQ115" s="55"/>
      <c r="AR115" s="55"/>
      <c r="AS115" s="55"/>
      <c r="AT115" s="55"/>
      <c r="AU115" s="55"/>
      <c r="AV115" s="55"/>
      <c r="AW115" s="55"/>
      <c r="AX115" s="55"/>
      <c r="AY115" s="55"/>
      <c r="AZ115" s="55"/>
      <c r="BA115" s="55"/>
      <c r="BB115" s="55"/>
      <c r="BC115" s="55"/>
      <c r="BD115" s="55"/>
      <c r="BE115" s="55"/>
      <c r="BF115" s="55"/>
      <c r="BG115" s="55"/>
      <c r="BH115" s="55"/>
      <c r="BI115" s="55"/>
      <c r="BJ115" s="55"/>
      <c r="BK115" s="55"/>
      <c r="BL115" s="55"/>
      <c r="BM115" s="55"/>
      <c r="BN115" s="56"/>
      <c r="BO115" s="31"/>
      <c r="BP115" s="32"/>
      <c r="BQ115" s="32"/>
      <c r="BR115" s="32"/>
      <c r="BS115" s="32"/>
      <c r="BT115" s="32"/>
      <c r="BU115" s="32"/>
      <c r="BV115" s="32"/>
      <c r="BW115" s="32"/>
      <c r="BX115" s="32"/>
      <c r="BY115" s="32"/>
      <c r="BZ115" s="32"/>
      <c r="CA115" s="32"/>
      <c r="CB115" s="32"/>
      <c r="CC115" s="32"/>
      <c r="CD115" s="32"/>
      <c r="CE115" s="32"/>
      <c r="CF115" s="33"/>
    </row>
    <row r="116" spans="1:84" ht="6.6" customHeight="1" x14ac:dyDescent="0.25">
      <c r="A116" s="48"/>
      <c r="B116" s="49"/>
      <c r="C116" s="49"/>
      <c r="D116" s="49"/>
      <c r="E116" s="49"/>
      <c r="F116" s="50"/>
      <c r="G116" s="57"/>
      <c r="H116" s="58"/>
      <c r="I116" s="5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c r="BA116" s="58"/>
      <c r="BB116" s="58"/>
      <c r="BC116" s="58"/>
      <c r="BD116" s="58"/>
      <c r="BE116" s="58"/>
      <c r="BF116" s="58"/>
      <c r="BG116" s="58"/>
      <c r="BH116" s="58"/>
      <c r="BI116" s="58"/>
      <c r="BJ116" s="58"/>
      <c r="BK116" s="58"/>
      <c r="BL116" s="58"/>
      <c r="BM116" s="58"/>
      <c r="BN116" s="59"/>
      <c r="BO116" s="34"/>
      <c r="BP116" s="35"/>
      <c r="BQ116" s="35"/>
      <c r="BR116" s="35"/>
      <c r="BS116" s="35"/>
      <c r="BT116" s="35"/>
      <c r="BU116" s="35"/>
      <c r="BV116" s="35"/>
      <c r="BW116" s="35"/>
      <c r="BX116" s="35"/>
      <c r="BY116" s="35"/>
      <c r="BZ116" s="35"/>
      <c r="CA116" s="35"/>
      <c r="CB116" s="35"/>
      <c r="CC116" s="35"/>
      <c r="CD116" s="35"/>
      <c r="CE116" s="35"/>
      <c r="CF116" s="36"/>
    </row>
    <row r="117" spans="1:84" ht="6.6" customHeight="1" x14ac:dyDescent="0.25">
      <c r="A117" s="48"/>
      <c r="B117" s="49"/>
      <c r="C117" s="49"/>
      <c r="D117" s="49"/>
      <c r="E117" s="49"/>
      <c r="F117" s="50"/>
      <c r="G117" s="57"/>
      <c r="H117" s="58"/>
      <c r="I117" s="5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c r="BA117" s="58"/>
      <c r="BB117" s="58"/>
      <c r="BC117" s="58"/>
      <c r="BD117" s="58"/>
      <c r="BE117" s="58"/>
      <c r="BF117" s="58"/>
      <c r="BG117" s="58"/>
      <c r="BH117" s="58"/>
      <c r="BI117" s="58"/>
      <c r="BJ117" s="58"/>
      <c r="BK117" s="58"/>
      <c r="BL117" s="58"/>
      <c r="BM117" s="58"/>
      <c r="BN117" s="59"/>
      <c r="BO117" s="34"/>
      <c r="BP117" s="35"/>
      <c r="BQ117" s="35"/>
      <c r="BR117" s="35"/>
      <c r="BS117" s="35"/>
      <c r="BT117" s="35"/>
      <c r="BU117" s="35"/>
      <c r="BV117" s="35"/>
      <c r="BW117" s="35"/>
      <c r="BX117" s="35"/>
      <c r="BY117" s="35"/>
      <c r="BZ117" s="35"/>
      <c r="CA117" s="35"/>
      <c r="CB117" s="35"/>
      <c r="CC117" s="35"/>
      <c r="CD117" s="35"/>
      <c r="CE117" s="35"/>
      <c r="CF117" s="36"/>
    </row>
    <row r="118" spans="1:84" ht="6.6" customHeight="1" x14ac:dyDescent="0.25">
      <c r="A118" s="48"/>
      <c r="B118" s="49"/>
      <c r="C118" s="49"/>
      <c r="D118" s="49"/>
      <c r="E118" s="49"/>
      <c r="F118" s="50"/>
      <c r="G118" s="57"/>
      <c r="H118" s="58"/>
      <c r="I118" s="5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c r="BA118" s="58"/>
      <c r="BB118" s="58"/>
      <c r="BC118" s="58"/>
      <c r="BD118" s="58"/>
      <c r="BE118" s="58"/>
      <c r="BF118" s="58"/>
      <c r="BG118" s="58"/>
      <c r="BH118" s="58"/>
      <c r="BI118" s="58"/>
      <c r="BJ118" s="58"/>
      <c r="BK118" s="58"/>
      <c r="BL118" s="58"/>
      <c r="BM118" s="58"/>
      <c r="BN118" s="59"/>
      <c r="BO118" s="34"/>
      <c r="BP118" s="35"/>
      <c r="BQ118" s="35"/>
      <c r="BR118" s="35"/>
      <c r="BS118" s="35"/>
      <c r="BT118" s="35"/>
      <c r="BU118" s="35"/>
      <c r="BV118" s="35"/>
      <c r="BW118" s="35"/>
      <c r="BX118" s="35"/>
      <c r="BY118" s="35"/>
      <c r="BZ118" s="35"/>
      <c r="CA118" s="35"/>
      <c r="CB118" s="35"/>
      <c r="CC118" s="35"/>
      <c r="CD118" s="35"/>
      <c r="CE118" s="35"/>
      <c r="CF118" s="36"/>
    </row>
    <row r="119" spans="1:84" ht="6.6" customHeight="1" x14ac:dyDescent="0.25">
      <c r="A119" s="48"/>
      <c r="B119" s="49"/>
      <c r="C119" s="49"/>
      <c r="D119" s="49"/>
      <c r="E119" s="49"/>
      <c r="F119" s="50"/>
      <c r="G119" s="57"/>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c r="BA119" s="58"/>
      <c r="BB119" s="58"/>
      <c r="BC119" s="58"/>
      <c r="BD119" s="58"/>
      <c r="BE119" s="58"/>
      <c r="BF119" s="58"/>
      <c r="BG119" s="58"/>
      <c r="BH119" s="58"/>
      <c r="BI119" s="58"/>
      <c r="BJ119" s="58"/>
      <c r="BK119" s="58"/>
      <c r="BL119" s="58"/>
      <c r="BM119" s="58"/>
      <c r="BN119" s="59"/>
      <c r="BO119" s="34"/>
      <c r="BP119" s="35"/>
      <c r="BQ119" s="35"/>
      <c r="BR119" s="35"/>
      <c r="BS119" s="35"/>
      <c r="BT119" s="35"/>
      <c r="BU119" s="35"/>
      <c r="BV119" s="35"/>
      <c r="BW119" s="35"/>
      <c r="BX119" s="35"/>
      <c r="BY119" s="35"/>
      <c r="BZ119" s="35"/>
      <c r="CA119" s="35"/>
      <c r="CB119" s="35"/>
      <c r="CC119" s="35"/>
      <c r="CD119" s="35"/>
      <c r="CE119" s="35"/>
      <c r="CF119" s="36"/>
    </row>
    <row r="120" spans="1:84" ht="6.6" customHeight="1" x14ac:dyDescent="0.25">
      <c r="A120" s="48"/>
      <c r="B120" s="49"/>
      <c r="C120" s="49"/>
      <c r="D120" s="49"/>
      <c r="E120" s="49"/>
      <c r="F120" s="50"/>
      <c r="G120" s="57"/>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c r="BA120" s="58"/>
      <c r="BB120" s="58"/>
      <c r="BC120" s="58"/>
      <c r="BD120" s="58"/>
      <c r="BE120" s="58"/>
      <c r="BF120" s="58"/>
      <c r="BG120" s="58"/>
      <c r="BH120" s="58"/>
      <c r="BI120" s="58"/>
      <c r="BJ120" s="58"/>
      <c r="BK120" s="58"/>
      <c r="BL120" s="58"/>
      <c r="BM120" s="58"/>
      <c r="BN120" s="59"/>
      <c r="BO120" s="34"/>
      <c r="BP120" s="35"/>
      <c r="BQ120" s="35"/>
      <c r="BR120" s="35"/>
      <c r="BS120" s="35"/>
      <c r="BT120" s="35"/>
      <c r="BU120" s="35"/>
      <c r="BV120" s="35"/>
      <c r="BW120" s="35"/>
      <c r="BX120" s="35"/>
      <c r="BY120" s="35"/>
      <c r="BZ120" s="35"/>
      <c r="CA120" s="35"/>
      <c r="CB120" s="35"/>
      <c r="CC120" s="35"/>
      <c r="CD120" s="35"/>
      <c r="CE120" s="35"/>
      <c r="CF120" s="36"/>
    </row>
    <row r="121" spans="1:84" ht="6.6" customHeight="1" x14ac:dyDescent="0.25">
      <c r="A121" s="48"/>
      <c r="B121" s="49"/>
      <c r="C121" s="49"/>
      <c r="D121" s="49"/>
      <c r="E121" s="49"/>
      <c r="F121" s="50"/>
      <c r="G121" s="57"/>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c r="BA121" s="58"/>
      <c r="BB121" s="58"/>
      <c r="BC121" s="58"/>
      <c r="BD121" s="58"/>
      <c r="BE121" s="58"/>
      <c r="BF121" s="58"/>
      <c r="BG121" s="58"/>
      <c r="BH121" s="58"/>
      <c r="BI121" s="58"/>
      <c r="BJ121" s="58"/>
      <c r="BK121" s="58"/>
      <c r="BL121" s="58"/>
      <c r="BM121" s="58"/>
      <c r="BN121" s="59"/>
      <c r="BO121" s="34"/>
      <c r="BP121" s="35"/>
      <c r="BQ121" s="35"/>
      <c r="BR121" s="35"/>
      <c r="BS121" s="35"/>
      <c r="BT121" s="35"/>
      <c r="BU121" s="35"/>
      <c r="BV121" s="35"/>
      <c r="BW121" s="35"/>
      <c r="BX121" s="35"/>
      <c r="BY121" s="35"/>
      <c r="BZ121" s="35"/>
      <c r="CA121" s="35"/>
      <c r="CB121" s="35"/>
      <c r="CC121" s="35"/>
      <c r="CD121" s="35"/>
      <c r="CE121" s="35"/>
      <c r="CF121" s="36"/>
    </row>
    <row r="122" spans="1:84" ht="6.6" customHeight="1" x14ac:dyDescent="0.25">
      <c r="A122" s="48"/>
      <c r="B122" s="49"/>
      <c r="C122" s="49"/>
      <c r="D122" s="49"/>
      <c r="E122" s="49"/>
      <c r="F122" s="50"/>
      <c r="G122" s="57"/>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c r="BA122" s="58"/>
      <c r="BB122" s="58"/>
      <c r="BC122" s="58"/>
      <c r="BD122" s="58"/>
      <c r="BE122" s="58"/>
      <c r="BF122" s="58"/>
      <c r="BG122" s="58"/>
      <c r="BH122" s="58"/>
      <c r="BI122" s="58"/>
      <c r="BJ122" s="58"/>
      <c r="BK122" s="58"/>
      <c r="BL122" s="58"/>
      <c r="BM122" s="58"/>
      <c r="BN122" s="59"/>
      <c r="BO122" s="34"/>
      <c r="BP122" s="35"/>
      <c r="BQ122" s="35"/>
      <c r="BR122" s="35"/>
      <c r="BS122" s="35"/>
      <c r="BT122" s="35"/>
      <c r="BU122" s="35"/>
      <c r="BV122" s="35"/>
      <c r="BW122" s="35"/>
      <c r="BX122" s="35"/>
      <c r="BY122" s="35"/>
      <c r="BZ122" s="35"/>
      <c r="CA122" s="35"/>
      <c r="CB122" s="35"/>
      <c r="CC122" s="35"/>
      <c r="CD122" s="35"/>
      <c r="CE122" s="35"/>
      <c r="CF122" s="36"/>
    </row>
    <row r="123" spans="1:84" ht="6.6" customHeight="1" x14ac:dyDescent="0.25">
      <c r="A123" s="48"/>
      <c r="B123" s="49"/>
      <c r="C123" s="49"/>
      <c r="D123" s="49"/>
      <c r="E123" s="49"/>
      <c r="F123" s="50"/>
      <c r="G123" s="57"/>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c r="BA123" s="58"/>
      <c r="BB123" s="58"/>
      <c r="BC123" s="58"/>
      <c r="BD123" s="58"/>
      <c r="BE123" s="58"/>
      <c r="BF123" s="58"/>
      <c r="BG123" s="58"/>
      <c r="BH123" s="58"/>
      <c r="BI123" s="58"/>
      <c r="BJ123" s="58"/>
      <c r="BK123" s="58"/>
      <c r="BL123" s="58"/>
      <c r="BM123" s="58"/>
      <c r="BN123" s="59"/>
      <c r="BO123" s="34"/>
      <c r="BP123" s="35"/>
      <c r="BQ123" s="35"/>
      <c r="BR123" s="35"/>
      <c r="BS123" s="35"/>
      <c r="BT123" s="35"/>
      <c r="BU123" s="35"/>
      <c r="BV123" s="35"/>
      <c r="BW123" s="35"/>
      <c r="BX123" s="35"/>
      <c r="BY123" s="35"/>
      <c r="BZ123" s="35"/>
      <c r="CA123" s="35"/>
      <c r="CB123" s="35"/>
      <c r="CC123" s="35"/>
      <c r="CD123" s="35"/>
      <c r="CE123" s="35"/>
      <c r="CF123" s="36"/>
    </row>
    <row r="124" spans="1:84" ht="6.6" customHeight="1" x14ac:dyDescent="0.25">
      <c r="A124" s="48"/>
      <c r="B124" s="49"/>
      <c r="C124" s="49"/>
      <c r="D124" s="49"/>
      <c r="E124" s="49"/>
      <c r="F124" s="50"/>
      <c r="G124" s="57"/>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c r="BA124" s="58"/>
      <c r="BB124" s="58"/>
      <c r="BC124" s="58"/>
      <c r="BD124" s="58"/>
      <c r="BE124" s="58"/>
      <c r="BF124" s="58"/>
      <c r="BG124" s="58"/>
      <c r="BH124" s="58"/>
      <c r="BI124" s="58"/>
      <c r="BJ124" s="58"/>
      <c r="BK124" s="58"/>
      <c r="BL124" s="58"/>
      <c r="BM124" s="58"/>
      <c r="BN124" s="59"/>
      <c r="BO124" s="34"/>
      <c r="BP124" s="35"/>
      <c r="BQ124" s="35"/>
      <c r="BR124" s="35"/>
      <c r="BS124" s="35"/>
      <c r="BT124" s="35"/>
      <c r="BU124" s="35"/>
      <c r="BV124" s="35"/>
      <c r="BW124" s="35"/>
      <c r="BX124" s="35"/>
      <c r="BY124" s="35"/>
      <c r="BZ124" s="35"/>
      <c r="CA124" s="35"/>
      <c r="CB124" s="35"/>
      <c r="CC124" s="35"/>
      <c r="CD124" s="35"/>
      <c r="CE124" s="35"/>
      <c r="CF124" s="36"/>
    </row>
    <row r="125" spans="1:84" ht="6.6" customHeight="1" x14ac:dyDescent="0.25">
      <c r="A125" s="48"/>
      <c r="B125" s="49"/>
      <c r="C125" s="49"/>
      <c r="D125" s="49"/>
      <c r="E125" s="49"/>
      <c r="F125" s="50"/>
      <c r="G125" s="57"/>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c r="BA125" s="58"/>
      <c r="BB125" s="58"/>
      <c r="BC125" s="58"/>
      <c r="BD125" s="58"/>
      <c r="BE125" s="58"/>
      <c r="BF125" s="58"/>
      <c r="BG125" s="58"/>
      <c r="BH125" s="58"/>
      <c r="BI125" s="58"/>
      <c r="BJ125" s="58"/>
      <c r="BK125" s="58"/>
      <c r="BL125" s="58"/>
      <c r="BM125" s="58"/>
      <c r="BN125" s="59"/>
      <c r="BO125" s="34"/>
      <c r="BP125" s="35"/>
      <c r="BQ125" s="35"/>
      <c r="BR125" s="35"/>
      <c r="BS125" s="35"/>
      <c r="BT125" s="35"/>
      <c r="BU125" s="35"/>
      <c r="BV125" s="35"/>
      <c r="BW125" s="35"/>
      <c r="BX125" s="35"/>
      <c r="BY125" s="35"/>
      <c r="BZ125" s="35"/>
      <c r="CA125" s="35"/>
      <c r="CB125" s="35"/>
      <c r="CC125" s="35"/>
      <c r="CD125" s="35"/>
      <c r="CE125" s="35"/>
      <c r="CF125" s="36"/>
    </row>
    <row r="126" spans="1:84" ht="6.6" customHeight="1" x14ac:dyDescent="0.25">
      <c r="A126" s="48"/>
      <c r="B126" s="49"/>
      <c r="C126" s="49"/>
      <c r="D126" s="49"/>
      <c r="E126" s="49"/>
      <c r="F126" s="50"/>
      <c r="G126" s="57"/>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c r="BA126" s="58"/>
      <c r="BB126" s="58"/>
      <c r="BC126" s="58"/>
      <c r="BD126" s="58"/>
      <c r="BE126" s="58"/>
      <c r="BF126" s="58"/>
      <c r="BG126" s="58"/>
      <c r="BH126" s="58"/>
      <c r="BI126" s="58"/>
      <c r="BJ126" s="58"/>
      <c r="BK126" s="58"/>
      <c r="BL126" s="58"/>
      <c r="BM126" s="58"/>
      <c r="BN126" s="59"/>
      <c r="BO126" s="34"/>
      <c r="BP126" s="35"/>
      <c r="BQ126" s="35"/>
      <c r="BR126" s="35"/>
      <c r="BS126" s="35"/>
      <c r="BT126" s="35"/>
      <c r="BU126" s="35"/>
      <c r="BV126" s="35"/>
      <c r="BW126" s="35"/>
      <c r="BX126" s="35"/>
      <c r="BY126" s="35"/>
      <c r="BZ126" s="35"/>
      <c r="CA126" s="35"/>
      <c r="CB126" s="35"/>
      <c r="CC126" s="35"/>
      <c r="CD126" s="35"/>
      <c r="CE126" s="35"/>
      <c r="CF126" s="36"/>
    </row>
    <row r="127" spans="1:84" ht="6.6" customHeight="1" x14ac:dyDescent="0.25">
      <c r="A127" s="48"/>
      <c r="B127" s="49"/>
      <c r="C127" s="49"/>
      <c r="D127" s="49"/>
      <c r="E127" s="49"/>
      <c r="F127" s="50"/>
      <c r="G127" s="57"/>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c r="BA127" s="58"/>
      <c r="BB127" s="58"/>
      <c r="BC127" s="58"/>
      <c r="BD127" s="58"/>
      <c r="BE127" s="58"/>
      <c r="BF127" s="58"/>
      <c r="BG127" s="58"/>
      <c r="BH127" s="58"/>
      <c r="BI127" s="58"/>
      <c r="BJ127" s="58"/>
      <c r="BK127" s="58"/>
      <c r="BL127" s="58"/>
      <c r="BM127" s="58"/>
      <c r="BN127" s="59"/>
      <c r="BO127" s="34"/>
      <c r="BP127" s="35"/>
      <c r="BQ127" s="35"/>
      <c r="BR127" s="35"/>
      <c r="BS127" s="35"/>
      <c r="BT127" s="35"/>
      <c r="BU127" s="35"/>
      <c r="BV127" s="35"/>
      <c r="BW127" s="35"/>
      <c r="BX127" s="35"/>
      <c r="BY127" s="35"/>
      <c r="BZ127" s="35"/>
      <c r="CA127" s="35"/>
      <c r="CB127" s="35"/>
      <c r="CC127" s="35"/>
      <c r="CD127" s="35"/>
      <c r="CE127" s="35"/>
      <c r="CF127" s="36"/>
    </row>
    <row r="128" spans="1:84" ht="6.6" customHeight="1" x14ac:dyDescent="0.25">
      <c r="A128" s="48"/>
      <c r="B128" s="49"/>
      <c r="C128" s="49"/>
      <c r="D128" s="49"/>
      <c r="E128" s="49"/>
      <c r="F128" s="50"/>
      <c r="G128" s="57"/>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c r="BA128" s="58"/>
      <c r="BB128" s="58"/>
      <c r="BC128" s="58"/>
      <c r="BD128" s="58"/>
      <c r="BE128" s="58"/>
      <c r="BF128" s="58"/>
      <c r="BG128" s="58"/>
      <c r="BH128" s="58"/>
      <c r="BI128" s="58"/>
      <c r="BJ128" s="58"/>
      <c r="BK128" s="58"/>
      <c r="BL128" s="58"/>
      <c r="BM128" s="58"/>
      <c r="BN128" s="59"/>
      <c r="BO128" s="34"/>
      <c r="BP128" s="35"/>
      <c r="BQ128" s="35"/>
      <c r="BR128" s="35"/>
      <c r="BS128" s="35"/>
      <c r="BT128" s="35"/>
      <c r="BU128" s="35"/>
      <c r="BV128" s="35"/>
      <c r="BW128" s="35"/>
      <c r="BX128" s="35"/>
      <c r="BY128" s="35"/>
      <c r="BZ128" s="35"/>
      <c r="CA128" s="35"/>
      <c r="CB128" s="35"/>
      <c r="CC128" s="35"/>
      <c r="CD128" s="35"/>
      <c r="CE128" s="35"/>
      <c r="CF128" s="36"/>
    </row>
    <row r="129" spans="1:84" ht="6.6" customHeight="1" x14ac:dyDescent="0.25">
      <c r="A129" s="48"/>
      <c r="B129" s="49"/>
      <c r="C129" s="49"/>
      <c r="D129" s="49"/>
      <c r="E129" s="49"/>
      <c r="F129" s="50"/>
      <c r="G129" s="57"/>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c r="BA129" s="58"/>
      <c r="BB129" s="58"/>
      <c r="BC129" s="58"/>
      <c r="BD129" s="58"/>
      <c r="BE129" s="58"/>
      <c r="BF129" s="58"/>
      <c r="BG129" s="58"/>
      <c r="BH129" s="58"/>
      <c r="BI129" s="58"/>
      <c r="BJ129" s="58"/>
      <c r="BK129" s="58"/>
      <c r="BL129" s="58"/>
      <c r="BM129" s="58"/>
      <c r="BN129" s="59"/>
      <c r="BO129" s="34"/>
      <c r="BP129" s="35"/>
      <c r="BQ129" s="35"/>
      <c r="BR129" s="35"/>
      <c r="BS129" s="35"/>
      <c r="BT129" s="35"/>
      <c r="BU129" s="35"/>
      <c r="BV129" s="35"/>
      <c r="BW129" s="35"/>
      <c r="BX129" s="35"/>
      <c r="BY129" s="35"/>
      <c r="BZ129" s="35"/>
      <c r="CA129" s="35"/>
      <c r="CB129" s="35"/>
      <c r="CC129" s="35"/>
      <c r="CD129" s="35"/>
      <c r="CE129" s="35"/>
      <c r="CF129" s="36"/>
    </row>
    <row r="130" spans="1:84" ht="6.6" customHeight="1" x14ac:dyDescent="0.25">
      <c r="A130" s="48"/>
      <c r="B130" s="49"/>
      <c r="C130" s="49"/>
      <c r="D130" s="49"/>
      <c r="E130" s="49"/>
      <c r="F130" s="50"/>
      <c r="G130" s="57"/>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c r="BA130" s="58"/>
      <c r="BB130" s="58"/>
      <c r="BC130" s="58"/>
      <c r="BD130" s="58"/>
      <c r="BE130" s="58"/>
      <c r="BF130" s="58"/>
      <c r="BG130" s="58"/>
      <c r="BH130" s="58"/>
      <c r="BI130" s="58"/>
      <c r="BJ130" s="58"/>
      <c r="BK130" s="58"/>
      <c r="BL130" s="58"/>
      <c r="BM130" s="58"/>
      <c r="BN130" s="59"/>
      <c r="BO130" s="34"/>
      <c r="BP130" s="35"/>
      <c r="BQ130" s="35"/>
      <c r="BR130" s="35"/>
      <c r="BS130" s="35"/>
      <c r="BT130" s="35"/>
      <c r="BU130" s="35"/>
      <c r="BV130" s="35"/>
      <c r="BW130" s="35"/>
      <c r="BX130" s="35"/>
      <c r="BY130" s="35"/>
      <c r="BZ130" s="35"/>
      <c r="CA130" s="35"/>
      <c r="CB130" s="35"/>
      <c r="CC130" s="35"/>
      <c r="CD130" s="35"/>
      <c r="CE130" s="35"/>
      <c r="CF130" s="36"/>
    </row>
    <row r="131" spans="1:84" ht="6.6" customHeight="1" x14ac:dyDescent="0.25">
      <c r="A131" s="48"/>
      <c r="B131" s="49"/>
      <c r="C131" s="49"/>
      <c r="D131" s="49"/>
      <c r="E131" s="49"/>
      <c r="F131" s="50"/>
      <c r="G131" s="57"/>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c r="BA131" s="58"/>
      <c r="BB131" s="58"/>
      <c r="BC131" s="58"/>
      <c r="BD131" s="58"/>
      <c r="BE131" s="58"/>
      <c r="BF131" s="58"/>
      <c r="BG131" s="58"/>
      <c r="BH131" s="58"/>
      <c r="BI131" s="58"/>
      <c r="BJ131" s="58"/>
      <c r="BK131" s="58"/>
      <c r="BL131" s="58"/>
      <c r="BM131" s="58"/>
      <c r="BN131" s="59"/>
      <c r="BO131" s="34"/>
      <c r="BP131" s="35"/>
      <c r="BQ131" s="35"/>
      <c r="BR131" s="35"/>
      <c r="BS131" s="35"/>
      <c r="BT131" s="35"/>
      <c r="BU131" s="35"/>
      <c r="BV131" s="35"/>
      <c r="BW131" s="35"/>
      <c r="BX131" s="35"/>
      <c r="BY131" s="35"/>
      <c r="BZ131" s="35"/>
      <c r="CA131" s="35"/>
      <c r="CB131" s="35"/>
      <c r="CC131" s="35"/>
      <c r="CD131" s="35"/>
      <c r="CE131" s="35"/>
      <c r="CF131" s="36"/>
    </row>
    <row r="132" spans="1:84" ht="6.6" customHeight="1" x14ac:dyDescent="0.25">
      <c r="A132" s="51"/>
      <c r="B132" s="52"/>
      <c r="C132" s="52"/>
      <c r="D132" s="52"/>
      <c r="E132" s="52"/>
      <c r="F132" s="53"/>
      <c r="G132" s="60"/>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c r="AE132" s="61"/>
      <c r="AF132" s="61"/>
      <c r="AG132" s="61"/>
      <c r="AH132" s="61"/>
      <c r="AI132" s="61"/>
      <c r="AJ132" s="61"/>
      <c r="AK132" s="61"/>
      <c r="AL132" s="61"/>
      <c r="AM132" s="61"/>
      <c r="AN132" s="61"/>
      <c r="AO132" s="61"/>
      <c r="AP132" s="61"/>
      <c r="AQ132" s="61"/>
      <c r="AR132" s="61"/>
      <c r="AS132" s="61"/>
      <c r="AT132" s="61"/>
      <c r="AU132" s="61"/>
      <c r="AV132" s="61"/>
      <c r="AW132" s="61"/>
      <c r="AX132" s="61"/>
      <c r="AY132" s="61"/>
      <c r="AZ132" s="61"/>
      <c r="BA132" s="61"/>
      <c r="BB132" s="61"/>
      <c r="BC132" s="61"/>
      <c r="BD132" s="61"/>
      <c r="BE132" s="61"/>
      <c r="BF132" s="61"/>
      <c r="BG132" s="61"/>
      <c r="BH132" s="61"/>
      <c r="BI132" s="61"/>
      <c r="BJ132" s="61"/>
      <c r="BK132" s="61"/>
      <c r="BL132" s="61"/>
      <c r="BM132" s="61"/>
      <c r="BN132" s="62"/>
      <c r="BO132" s="37"/>
      <c r="BP132" s="38"/>
      <c r="BQ132" s="38"/>
      <c r="BR132" s="38"/>
      <c r="BS132" s="38"/>
      <c r="BT132" s="38"/>
      <c r="BU132" s="38"/>
      <c r="BV132" s="38"/>
      <c r="BW132" s="38"/>
      <c r="BX132" s="38"/>
      <c r="BY132" s="38"/>
      <c r="BZ132" s="38"/>
      <c r="CA132" s="38"/>
      <c r="CB132" s="38"/>
      <c r="CC132" s="38"/>
      <c r="CD132" s="38"/>
      <c r="CE132" s="38"/>
      <c r="CF132" s="39"/>
    </row>
  </sheetData>
  <sheetProtection algorithmName="SHA-512" hashValue="VQNaqzUe6e5G51xojaiFXky/SZgTiqzCIvhZsNOdb3xdsYKIqaGVG9l4z7GewZu97xmz85rTSues4FZmbvMfMg==" saltValue="6THQ6Gg+Mc0S+kSCAK9yWw==" spinCount="100000" sheet="1" scenarios="1" selectLockedCells="1" selectUnlockedCells="1"/>
  <mergeCells count="327">
    <mergeCell ref="A115:F132"/>
    <mergeCell ref="G115:BN132"/>
    <mergeCell ref="BO115:CF132"/>
    <mergeCell ref="A79:F96"/>
    <mergeCell ref="G79:BN96"/>
    <mergeCell ref="BO79:CF96"/>
    <mergeCell ref="A97:F114"/>
    <mergeCell ref="G97:BN114"/>
    <mergeCell ref="BO97:CF114"/>
    <mergeCell ref="BX56:CF56"/>
    <mergeCell ref="A58:CF58"/>
    <mergeCell ref="A60:F60"/>
    <mergeCell ref="G60:BN60"/>
    <mergeCell ref="BO60:CF60"/>
    <mergeCell ref="A61:F78"/>
    <mergeCell ref="G61:BN78"/>
    <mergeCell ref="BO61:CF78"/>
    <mergeCell ref="A56:I56"/>
    <mergeCell ref="J56:BK56"/>
    <mergeCell ref="BL56:BN56"/>
    <mergeCell ref="BO56:BQ56"/>
    <mergeCell ref="BR56:BT56"/>
    <mergeCell ref="BU56:BW56"/>
    <mergeCell ref="BX54:CF54"/>
    <mergeCell ref="A55:I55"/>
    <mergeCell ref="J55:BK55"/>
    <mergeCell ref="BL55:BN55"/>
    <mergeCell ref="BO55:BQ55"/>
    <mergeCell ref="BR55:BT55"/>
    <mergeCell ref="BU55:BW55"/>
    <mergeCell ref="BX55:CF55"/>
    <mergeCell ref="A54:I54"/>
    <mergeCell ref="J54:BK54"/>
    <mergeCell ref="BL54:BN54"/>
    <mergeCell ref="BO54:BQ54"/>
    <mergeCell ref="BR54:BT54"/>
    <mergeCell ref="BU54:BW54"/>
    <mergeCell ref="BX52:CF52"/>
    <mergeCell ref="A53:I53"/>
    <mergeCell ref="J53:BK53"/>
    <mergeCell ref="BL53:BN53"/>
    <mergeCell ref="BO53:BQ53"/>
    <mergeCell ref="BR53:BT53"/>
    <mergeCell ref="BU53:BW53"/>
    <mergeCell ref="BX53:CF53"/>
    <mergeCell ref="A52:I52"/>
    <mergeCell ref="J52:BK52"/>
    <mergeCell ref="BL52:BN52"/>
    <mergeCell ref="BO52:BQ52"/>
    <mergeCell ref="BR52:BT52"/>
    <mergeCell ref="BU52:BW52"/>
    <mergeCell ref="AG45:AN45"/>
    <mergeCell ref="A46:H46"/>
    <mergeCell ref="I46:P46"/>
    <mergeCell ref="Q46:X46"/>
    <mergeCell ref="Y46:AF46"/>
    <mergeCell ref="AG46:AN46"/>
    <mergeCell ref="A49:CF49"/>
    <mergeCell ref="A51:I51"/>
    <mergeCell ref="J51:BK51"/>
    <mergeCell ref="BL51:BN51"/>
    <mergeCell ref="BO51:BQ51"/>
    <mergeCell ref="BR51:BT51"/>
    <mergeCell ref="BU51:BW51"/>
    <mergeCell ref="BX51:CF51"/>
    <mergeCell ref="A47:H47"/>
    <mergeCell ref="I47:P47"/>
    <mergeCell ref="Q47:X47"/>
    <mergeCell ref="Y47:AF47"/>
    <mergeCell ref="AG47:AN47"/>
    <mergeCell ref="AO47:CF47"/>
    <mergeCell ref="A39:CF39"/>
    <mergeCell ref="A41:H42"/>
    <mergeCell ref="I41:X41"/>
    <mergeCell ref="Y41:AN41"/>
    <mergeCell ref="AO41:BJ46"/>
    <mergeCell ref="BK41:CF46"/>
    <mergeCell ref="I42:P42"/>
    <mergeCell ref="Q42:X42"/>
    <mergeCell ref="Y42:AF42"/>
    <mergeCell ref="AG42:AN42"/>
    <mergeCell ref="A43:H43"/>
    <mergeCell ref="I43:P43"/>
    <mergeCell ref="Q43:X43"/>
    <mergeCell ref="Y43:AF43"/>
    <mergeCell ref="AG43:AN43"/>
    <mergeCell ref="A44:H44"/>
    <mergeCell ref="I44:P44"/>
    <mergeCell ref="Q44:X44"/>
    <mergeCell ref="Y44:AF44"/>
    <mergeCell ref="AG44:AN44"/>
    <mergeCell ref="A45:H45"/>
    <mergeCell ref="I45:P45"/>
    <mergeCell ref="Q45:X45"/>
    <mergeCell ref="Y45:AF45"/>
    <mergeCell ref="AD36:AH36"/>
    <mergeCell ref="AI36:BC36"/>
    <mergeCell ref="AD37:AH37"/>
    <mergeCell ref="AI37:BC37"/>
    <mergeCell ref="AD38:AH38"/>
    <mergeCell ref="AI38:BC38"/>
    <mergeCell ref="BC33:BE33"/>
    <mergeCell ref="BF33:BO33"/>
    <mergeCell ref="BP33:BR33"/>
    <mergeCell ref="BS33:CB33"/>
    <mergeCell ref="CC33:CF33"/>
    <mergeCell ref="AD35:AH35"/>
    <mergeCell ref="AI35:BC35"/>
    <mergeCell ref="BF32:BO32"/>
    <mergeCell ref="BP32:BR32"/>
    <mergeCell ref="BS32:CB32"/>
    <mergeCell ref="CC32:CF32"/>
    <mergeCell ref="A33:J33"/>
    <mergeCell ref="K33:AB33"/>
    <mergeCell ref="AC33:AE33"/>
    <mergeCell ref="AF33:AO33"/>
    <mergeCell ref="AP33:AR33"/>
    <mergeCell ref="AS33:BB33"/>
    <mergeCell ref="K32:AB32"/>
    <mergeCell ref="AC32:AE32"/>
    <mergeCell ref="AF32:AO32"/>
    <mergeCell ref="AP32:AR32"/>
    <mergeCell ref="AS32:BB32"/>
    <mergeCell ref="BC32:BE32"/>
    <mergeCell ref="A31:J32"/>
    <mergeCell ref="K31:AB31"/>
    <mergeCell ref="AC31:AE31"/>
    <mergeCell ref="AF31:AO31"/>
    <mergeCell ref="AP31:AR31"/>
    <mergeCell ref="BC29:BE29"/>
    <mergeCell ref="BF29:BO29"/>
    <mergeCell ref="BP29:BR29"/>
    <mergeCell ref="BS29:CB29"/>
    <mergeCell ref="CC29:CF29"/>
    <mergeCell ref="K30:AB30"/>
    <mergeCell ref="AC30:AE30"/>
    <mergeCell ref="AF30:AO30"/>
    <mergeCell ref="AP30:AR30"/>
    <mergeCell ref="AS30:BB30"/>
    <mergeCell ref="AS31:BB31"/>
    <mergeCell ref="BC31:BE31"/>
    <mergeCell ref="BF31:BO31"/>
    <mergeCell ref="BP31:BR31"/>
    <mergeCell ref="BS31:CB31"/>
    <mergeCell ref="CC31:CF31"/>
    <mergeCell ref="BC30:BE30"/>
    <mergeCell ref="BF30:BO30"/>
    <mergeCell ref="BP30:BR30"/>
    <mergeCell ref="BS30:CB30"/>
    <mergeCell ref="CC30:CF30"/>
    <mergeCell ref="BF28:BO28"/>
    <mergeCell ref="BP28:BR28"/>
    <mergeCell ref="BS28:CB28"/>
    <mergeCell ref="CC28:CF28"/>
    <mergeCell ref="A29:J30"/>
    <mergeCell ref="K29:AB29"/>
    <mergeCell ref="AC29:AE29"/>
    <mergeCell ref="AF29:AO29"/>
    <mergeCell ref="AP29:AR29"/>
    <mergeCell ref="AS29:BB29"/>
    <mergeCell ref="A26:J28"/>
    <mergeCell ref="K26:AB26"/>
    <mergeCell ref="AC26:AE26"/>
    <mergeCell ref="AF26:AO26"/>
    <mergeCell ref="AP26:AR26"/>
    <mergeCell ref="K28:AB28"/>
    <mergeCell ref="AC28:AE28"/>
    <mergeCell ref="AF28:AO28"/>
    <mergeCell ref="AP28:AR28"/>
    <mergeCell ref="AS28:BB28"/>
    <mergeCell ref="BC28:BE28"/>
    <mergeCell ref="K27:AB27"/>
    <mergeCell ref="AC27:AE27"/>
    <mergeCell ref="AF27:AO27"/>
    <mergeCell ref="AP27:AR27"/>
    <mergeCell ref="AS27:BB27"/>
    <mergeCell ref="BC27:BE27"/>
    <mergeCell ref="BS26:CB26"/>
    <mergeCell ref="CC26:CF26"/>
    <mergeCell ref="BC25:BE25"/>
    <mergeCell ref="BF25:BO25"/>
    <mergeCell ref="BP25:BR25"/>
    <mergeCell ref="BS25:CB25"/>
    <mergeCell ref="CC25:CF25"/>
    <mergeCell ref="BF27:BO27"/>
    <mergeCell ref="BP27:BR27"/>
    <mergeCell ref="BS27:CB27"/>
    <mergeCell ref="CC27:CF27"/>
    <mergeCell ref="K25:AB25"/>
    <mergeCell ref="AC25:AE25"/>
    <mergeCell ref="AF25:AO25"/>
    <mergeCell ref="AP25:AR25"/>
    <mergeCell ref="AS25:BB25"/>
    <mergeCell ref="AS26:BB26"/>
    <mergeCell ref="BC26:BE26"/>
    <mergeCell ref="BF26:BO26"/>
    <mergeCell ref="BP26:BR26"/>
    <mergeCell ref="CC23:CF23"/>
    <mergeCell ref="K24:AB24"/>
    <mergeCell ref="AC24:AE24"/>
    <mergeCell ref="AF24:AO24"/>
    <mergeCell ref="AP24:AR24"/>
    <mergeCell ref="AS24:BB24"/>
    <mergeCell ref="BC24:BE24"/>
    <mergeCell ref="BF24:BO24"/>
    <mergeCell ref="BP24:BR24"/>
    <mergeCell ref="BS24:CB24"/>
    <mergeCell ref="CC24:CF24"/>
    <mergeCell ref="K23:AB23"/>
    <mergeCell ref="AC23:AE23"/>
    <mergeCell ref="AF23:AO23"/>
    <mergeCell ref="AP23:AR23"/>
    <mergeCell ref="AS23:BB23"/>
    <mergeCell ref="BC23:BE23"/>
    <mergeCell ref="BF23:BO23"/>
    <mergeCell ref="BP23:BR23"/>
    <mergeCell ref="BS23:CB23"/>
    <mergeCell ref="BS21:CB21"/>
    <mergeCell ref="CC21:CF21"/>
    <mergeCell ref="K22:AB22"/>
    <mergeCell ref="AC22:AE22"/>
    <mergeCell ref="AF22:AO22"/>
    <mergeCell ref="AP22:AR22"/>
    <mergeCell ref="AS22:BB22"/>
    <mergeCell ref="BC22:BE22"/>
    <mergeCell ref="BF22:BO22"/>
    <mergeCell ref="BP22:BR22"/>
    <mergeCell ref="BS22:CB22"/>
    <mergeCell ref="CC22:CF22"/>
    <mergeCell ref="BF20:BO20"/>
    <mergeCell ref="BP20:BR20"/>
    <mergeCell ref="BS20:CB20"/>
    <mergeCell ref="CC20:CF20"/>
    <mergeCell ref="A21:J25"/>
    <mergeCell ref="K21:AB21"/>
    <mergeCell ref="AC21:AE21"/>
    <mergeCell ref="AF21:AO21"/>
    <mergeCell ref="AP21:AR21"/>
    <mergeCell ref="AS21:BB21"/>
    <mergeCell ref="K20:AB20"/>
    <mergeCell ref="AC20:AE20"/>
    <mergeCell ref="AF20:AO20"/>
    <mergeCell ref="AP20:AR20"/>
    <mergeCell ref="AS20:BB20"/>
    <mergeCell ref="BC20:BE20"/>
    <mergeCell ref="A19:J20"/>
    <mergeCell ref="K19:AB19"/>
    <mergeCell ref="AC19:AE19"/>
    <mergeCell ref="AF19:AO19"/>
    <mergeCell ref="AP19:AR19"/>
    <mergeCell ref="BC21:BE21"/>
    <mergeCell ref="BF21:BO21"/>
    <mergeCell ref="BP21:BR21"/>
    <mergeCell ref="AS19:BB19"/>
    <mergeCell ref="BC19:BE19"/>
    <mergeCell ref="BF19:BO19"/>
    <mergeCell ref="BP19:BR19"/>
    <mergeCell ref="BS19:CB19"/>
    <mergeCell ref="CC19:CF19"/>
    <mergeCell ref="BC18:BE18"/>
    <mergeCell ref="BF18:BO18"/>
    <mergeCell ref="BP18:BR18"/>
    <mergeCell ref="BS18:CB18"/>
    <mergeCell ref="CC18:CF18"/>
    <mergeCell ref="BS16:CB16"/>
    <mergeCell ref="CC16:CF16"/>
    <mergeCell ref="K17:AB17"/>
    <mergeCell ref="AC17:AE17"/>
    <mergeCell ref="AF17:AO17"/>
    <mergeCell ref="AP17:AR17"/>
    <mergeCell ref="AS17:BB17"/>
    <mergeCell ref="BC17:BE17"/>
    <mergeCell ref="BF17:BO17"/>
    <mergeCell ref="BP17:BR17"/>
    <mergeCell ref="BS17:CB17"/>
    <mergeCell ref="CC17:CF17"/>
    <mergeCell ref="A16:J18"/>
    <mergeCell ref="K16:AB16"/>
    <mergeCell ref="AC16:AE16"/>
    <mergeCell ref="AF16:AO16"/>
    <mergeCell ref="AP16:AR16"/>
    <mergeCell ref="AS16:BB16"/>
    <mergeCell ref="BC16:BE16"/>
    <mergeCell ref="BF16:BO16"/>
    <mergeCell ref="BP16:BR16"/>
    <mergeCell ref="K18:AB18"/>
    <mergeCell ref="AC18:AE18"/>
    <mergeCell ref="AF18:AO18"/>
    <mergeCell ref="AP18:AR18"/>
    <mergeCell ref="AS18:BB18"/>
    <mergeCell ref="K12:Z12"/>
    <mergeCell ref="AA12:BV12"/>
    <mergeCell ref="A14:J15"/>
    <mergeCell ref="K14:AB15"/>
    <mergeCell ref="AC14:CB14"/>
    <mergeCell ref="CC14:CF15"/>
    <mergeCell ref="AC15:AE15"/>
    <mergeCell ref="AF15:AO15"/>
    <mergeCell ref="AP15:AR15"/>
    <mergeCell ref="AS15:BB15"/>
    <mergeCell ref="BC15:BE15"/>
    <mergeCell ref="BF15:BO15"/>
    <mergeCell ref="BP15:BR15"/>
    <mergeCell ref="BS15:CB15"/>
    <mergeCell ref="K10:Z10"/>
    <mergeCell ref="AA10:AP10"/>
    <mergeCell ref="AQ10:BF10"/>
    <mergeCell ref="BG10:BV10"/>
    <mergeCell ref="K11:Z11"/>
    <mergeCell ref="AA11:BV11"/>
    <mergeCell ref="AA8:AP8"/>
    <mergeCell ref="AQ8:BF8"/>
    <mergeCell ref="BG8:BV8"/>
    <mergeCell ref="K9:Z9"/>
    <mergeCell ref="AA9:AP9"/>
    <mergeCell ref="AQ9:BF9"/>
    <mergeCell ref="BG9:BV9"/>
    <mergeCell ref="CH5:CI6"/>
    <mergeCell ref="CJ5:CJ6"/>
    <mergeCell ref="K7:Z7"/>
    <mergeCell ref="AA7:AP7"/>
    <mergeCell ref="AQ7:BF7"/>
    <mergeCell ref="BG7:BV7"/>
    <mergeCell ref="CH7:CI8"/>
    <mergeCell ref="CJ7:CJ8"/>
    <mergeCell ref="K8:Z8"/>
    <mergeCell ref="S3:BS5"/>
  </mergeCells>
  <conditionalFormatting sqref="I43:AN47 BL52:CF57 G61 BO61 G79 G97 G115">
    <cfRule type="expression" dxfId="23" priority="32">
      <formula>$AA$11=""</formula>
    </cfRule>
  </conditionalFormatting>
  <conditionalFormatting sqref="I44:AN47 BO52:CF57 G79 G97 G115">
    <cfRule type="expression" dxfId="22" priority="31">
      <formula>$CJ$5=1</formula>
    </cfRule>
  </conditionalFormatting>
  <conditionalFormatting sqref="I45:AN47 BR52:CF57 G97 G115">
    <cfRule type="expression" dxfId="21" priority="30">
      <formula>$CJ$5=2</formula>
    </cfRule>
  </conditionalFormatting>
  <conditionalFormatting sqref="I46:AN47 BU52:CF57 G115">
    <cfRule type="expression" dxfId="20" priority="29">
      <formula>$CJ$5=3</formula>
    </cfRule>
  </conditionalFormatting>
  <conditionalFormatting sqref="I43:AN47 AA10:AA11 BL52:CF57 G61 BO61 G79 G97 G115">
    <cfRule type="expression" dxfId="19" priority="28">
      <formula>$CJ$7=""</formula>
    </cfRule>
  </conditionalFormatting>
  <conditionalFormatting sqref="AA10 BG9:BV10 AA11:BV12 I43:AN47 BL52:CF57 G61 BO61 G79 G97 G115">
    <cfRule type="expression" dxfId="18" priority="27">
      <formula>$CJ$5=""</formula>
    </cfRule>
  </conditionalFormatting>
  <conditionalFormatting sqref="K31:AB32">
    <cfRule type="expression" dxfId="17" priority="25">
      <formula>$BG$9="4 AÑOS"</formula>
    </cfRule>
    <cfRule type="expression" dxfId="16" priority="26">
      <formula>$BG$9="3 AÑOS"</formula>
    </cfRule>
  </conditionalFormatting>
  <conditionalFormatting sqref="AC16:CB33">
    <cfRule type="expression" dxfId="15" priority="16">
      <formula>$AA$11=""</formula>
    </cfRule>
  </conditionalFormatting>
  <conditionalFormatting sqref="AP16:CB33">
    <cfRule type="expression" dxfId="14" priority="15">
      <formula>$CJ$5=1</formula>
    </cfRule>
  </conditionalFormatting>
  <conditionalFormatting sqref="BC16:CB33">
    <cfRule type="expression" dxfId="13" priority="14">
      <formula>$CJ$5=2</formula>
    </cfRule>
  </conditionalFormatting>
  <conditionalFormatting sqref="BP16:CB33">
    <cfRule type="expression" dxfId="12" priority="13">
      <formula>$CJ$5=3</formula>
    </cfRule>
  </conditionalFormatting>
  <conditionalFormatting sqref="AC16:CB33">
    <cfRule type="expression" dxfId="11" priority="12">
      <formula>$CJ$7=""</formula>
    </cfRule>
  </conditionalFormatting>
  <conditionalFormatting sqref="AC16:CB33">
    <cfRule type="expression" dxfId="10" priority="11">
      <formula>$CJ$5=""</formula>
    </cfRule>
  </conditionalFormatting>
  <conditionalFormatting sqref="AC31:CB32">
    <cfRule type="expression" dxfId="9" priority="9">
      <formula>$BG$9="4 AÑOS"</formula>
    </cfRule>
    <cfRule type="expression" dxfId="8" priority="10">
      <formula>$BG$9="3 AÑOS"</formula>
    </cfRule>
  </conditionalFormatting>
  <conditionalFormatting sqref="CC16:CF33">
    <cfRule type="expression" dxfId="7" priority="8">
      <formula>$AA$11=""</formula>
    </cfRule>
  </conditionalFormatting>
  <conditionalFormatting sqref="CC16:CF33">
    <cfRule type="expression" dxfId="6" priority="7">
      <formula>$CJ$5=1</formula>
    </cfRule>
  </conditionalFormatting>
  <conditionalFormatting sqref="CC16:CF33">
    <cfRule type="expression" dxfId="5" priority="6">
      <formula>$CJ$5=2</formula>
    </cfRule>
  </conditionalFormatting>
  <conditionalFormatting sqref="CC16:CF33">
    <cfRule type="expression" dxfId="4" priority="5">
      <formula>$CJ$5=3</formula>
    </cfRule>
  </conditionalFormatting>
  <conditionalFormatting sqref="CC16:CF33">
    <cfRule type="expression" dxfId="3" priority="4">
      <formula>$CJ$7=""</formula>
    </cfRule>
  </conditionalFormatting>
  <conditionalFormatting sqref="CC16:CF33">
    <cfRule type="expression" dxfId="2" priority="3">
      <formula>$CJ$5=""</formula>
    </cfRule>
  </conditionalFormatting>
  <conditionalFormatting sqref="CC31:CF32">
    <cfRule type="expression" dxfId="1" priority="1">
      <formula>$BG$9="4 AÑOS"</formula>
    </cfRule>
    <cfRule type="expression" dxfId="0" priority="2">
      <formula>$BG$9="3 AÑOS"</formula>
    </cfRule>
  </conditionalFormatting>
  <dataValidations count="1">
    <dataValidation type="whole" allowBlank="1" showErrorMessage="1" error="Solo se considera periodos entre 1 y 4" sqref="CJ5:CJ6" xr:uid="{6DBD99CC-69C7-4182-A0DA-41313274E409}">
      <formula1>1</formula1>
      <formula2>4</formula2>
    </dataValidation>
  </dataValidations>
  <printOptions horizontalCentered="1"/>
  <pageMargins left="0.39370078740157483" right="0.39370078740157483" top="0.74803149606299213" bottom="0.74803149606299213" header="0.31496062992125984" footer="0.31496062992125984"/>
  <pageSetup paperSize="9" scale="84" fitToHeight="3" orientation="portrait" horizontalDpi="0" verticalDpi="0" r:id="rId1"/>
  <rowBreaks count="1" manualBreakCount="1">
    <brk id="38" max="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7</vt:i4>
      </vt:variant>
    </vt:vector>
  </HeadingPairs>
  <TitlesOfParts>
    <vt:vector size="13" baseType="lpstr">
      <vt:lpstr>MODELO</vt:lpstr>
      <vt:lpstr>1° PERIODO</vt:lpstr>
      <vt:lpstr>2° PERIODO</vt:lpstr>
      <vt:lpstr>3° PERIODO</vt:lpstr>
      <vt:lpstr>4° PERIODO</vt:lpstr>
      <vt:lpstr>.</vt:lpstr>
      <vt:lpstr>'.'!Área_de_impresión</vt:lpstr>
      <vt:lpstr>MODELO!Área_de_impresión</vt:lpstr>
      <vt:lpstr>'.'!DIRECCIÓN</vt:lpstr>
      <vt:lpstr>DIRECCIÓN</vt:lpstr>
      <vt:lpstr>GERENCIA</vt:lpstr>
      <vt:lpstr>'.'!JOSFDSV</vt:lpstr>
      <vt:lpstr>JOSFDSV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Keyla Francia</cp:lastModifiedBy>
  <cp:lastPrinted>2022-11-03T14:44:40Z</cp:lastPrinted>
  <dcterms:created xsi:type="dcterms:W3CDTF">2022-04-21T08:18:17Z</dcterms:created>
  <dcterms:modified xsi:type="dcterms:W3CDTF">2022-12-15T21:48:37Z</dcterms:modified>
</cp:coreProperties>
</file>